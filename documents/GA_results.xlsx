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enki\OneDrive - Estudiantes ITCR\AP\P2_PacmanGame\documents\"/>
    </mc:Choice>
  </mc:AlternateContent>
  <xr:revisionPtr revIDLastSave="0" documentId="8_{B3E07954-DD69-42A8-8D56-2779D040B035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seed_987654321" sheetId="1" r:id="rId1"/>
    <sheet name="seed_123456789" sheetId="2" r:id="rId2"/>
    <sheet name="seed_121212" sheetId="3" r:id="rId3"/>
    <sheet name="Summ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4" l="1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2" i="4"/>
  <c r="B2" i="4"/>
  <c r="F51" i="4"/>
  <c r="D51" i="4"/>
  <c r="B51" i="4"/>
  <c r="F50" i="4"/>
  <c r="D50" i="4"/>
  <c r="B50" i="4"/>
  <c r="F49" i="4"/>
  <c r="D49" i="4"/>
  <c r="B49" i="4"/>
  <c r="F48" i="4"/>
  <c r="D48" i="4"/>
  <c r="B48" i="4"/>
  <c r="F47" i="4"/>
  <c r="D47" i="4"/>
  <c r="B47" i="4"/>
  <c r="F46" i="4"/>
  <c r="D46" i="4"/>
  <c r="B46" i="4"/>
  <c r="F45" i="4"/>
  <c r="D45" i="4"/>
  <c r="B45" i="4"/>
  <c r="F44" i="4"/>
  <c r="D44" i="4"/>
  <c r="B44" i="4"/>
  <c r="F43" i="4"/>
  <c r="D43" i="4"/>
  <c r="B43" i="4"/>
  <c r="F42" i="4"/>
  <c r="D42" i="4"/>
  <c r="B42" i="4"/>
  <c r="F41" i="4"/>
  <c r="D41" i="4"/>
  <c r="B41" i="4"/>
  <c r="F40" i="4"/>
  <c r="D40" i="4"/>
  <c r="B40" i="4"/>
  <c r="F39" i="4"/>
  <c r="D39" i="4"/>
  <c r="B39" i="4"/>
  <c r="F38" i="4"/>
  <c r="D38" i="4"/>
  <c r="B38" i="4"/>
  <c r="F37" i="4"/>
  <c r="D37" i="4"/>
  <c r="B37" i="4"/>
  <c r="F36" i="4"/>
  <c r="D36" i="4"/>
  <c r="B36" i="4"/>
  <c r="F35" i="4"/>
  <c r="D35" i="4"/>
  <c r="B35" i="4"/>
  <c r="F34" i="4"/>
  <c r="D34" i="4"/>
  <c r="B34" i="4"/>
  <c r="F33" i="4"/>
  <c r="D33" i="4"/>
  <c r="B33" i="4"/>
  <c r="F32" i="4"/>
  <c r="D32" i="4"/>
  <c r="B32" i="4"/>
  <c r="F31" i="4"/>
  <c r="D31" i="4"/>
  <c r="B31" i="4"/>
  <c r="F30" i="4"/>
  <c r="D30" i="4"/>
  <c r="B30" i="4"/>
  <c r="F29" i="4"/>
  <c r="D29" i="4"/>
  <c r="B29" i="4"/>
  <c r="F28" i="4"/>
  <c r="D28" i="4"/>
  <c r="B28" i="4"/>
  <c r="F27" i="4"/>
  <c r="D27" i="4"/>
  <c r="B27" i="4"/>
  <c r="F26" i="4"/>
  <c r="D26" i="4"/>
  <c r="B26" i="4"/>
  <c r="F25" i="4"/>
  <c r="D25" i="4"/>
  <c r="B25" i="4"/>
  <c r="F24" i="4"/>
  <c r="D24" i="4"/>
  <c r="B24" i="4"/>
  <c r="F23" i="4"/>
  <c r="D23" i="4"/>
  <c r="B23" i="4"/>
  <c r="F22" i="4"/>
  <c r="D22" i="4"/>
  <c r="B22" i="4"/>
  <c r="F21" i="4"/>
  <c r="D21" i="4"/>
  <c r="B21" i="4"/>
  <c r="F20" i="4"/>
  <c r="D20" i="4"/>
  <c r="B20" i="4"/>
  <c r="F19" i="4"/>
  <c r="D19" i="4"/>
  <c r="B19" i="4"/>
  <c r="F18" i="4"/>
  <c r="D18" i="4"/>
  <c r="B18" i="4"/>
  <c r="F17" i="4"/>
  <c r="D17" i="4"/>
  <c r="B17" i="4"/>
  <c r="F16" i="4"/>
  <c r="D16" i="4"/>
  <c r="B16" i="4"/>
  <c r="F15" i="4"/>
  <c r="D15" i="4"/>
  <c r="B15" i="4"/>
  <c r="F14" i="4"/>
  <c r="D14" i="4"/>
  <c r="B14" i="4"/>
  <c r="F13" i="4"/>
  <c r="D13" i="4"/>
  <c r="B13" i="4"/>
  <c r="F12" i="4"/>
  <c r="D12" i="4"/>
  <c r="B12" i="4"/>
  <c r="F11" i="4"/>
  <c r="D11" i="4"/>
  <c r="B11" i="4"/>
  <c r="F10" i="4"/>
  <c r="D10" i="4"/>
  <c r="B10" i="4"/>
  <c r="F9" i="4"/>
  <c r="D9" i="4"/>
  <c r="B9" i="4"/>
  <c r="F8" i="4"/>
  <c r="D8" i="4"/>
  <c r="B8" i="4"/>
  <c r="F7" i="4"/>
  <c r="D7" i="4"/>
  <c r="B7" i="4"/>
  <c r="F6" i="4"/>
  <c r="D6" i="4"/>
  <c r="B6" i="4"/>
  <c r="F5" i="4"/>
  <c r="D5" i="4"/>
  <c r="B5" i="4"/>
  <c r="F4" i="4"/>
  <c r="D4" i="4"/>
  <c r="B4" i="4"/>
  <c r="F3" i="4"/>
  <c r="D3" i="4"/>
  <c r="B3" i="4"/>
  <c r="F2" i="4"/>
  <c r="D2" i="4"/>
</calcChain>
</file>

<file path=xl/sharedStrings.xml><?xml version="1.0" encoding="utf-8"?>
<sst xmlns="http://schemas.openxmlformats.org/spreadsheetml/2006/main" count="23" uniqueCount="13">
  <si>
    <t>GEN</t>
  </si>
  <si>
    <t>PROM FITNESS</t>
  </si>
  <si>
    <t>MEJOR FITNESS</t>
  </si>
  <si>
    <t>DESV. EST FITNESS</t>
  </si>
  <si>
    <t>best fitness out of all seeds</t>
  </si>
  <si>
    <t>std of best seeds</t>
  </si>
  <si>
    <t>fitness prom out of all seeds</t>
  </si>
  <si>
    <t>std out of all seeds prom fitness</t>
  </si>
  <si>
    <t>best fitness out of all</t>
  </si>
  <si>
    <t>seed 987654321</t>
  </si>
  <si>
    <t>seed 123456789</t>
  </si>
  <si>
    <t>seed 121212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</si>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</sst>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</font>
    <font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 vertical="top"/>
    </xf>
    <xf numFmtId="0" fontId="0" fillId="0" borderId="0" xfId="0" applyAlignment="1">
      <alignment horizontal="left"/>
    </xf>
    <xf numFmtId="0" fontId="2" fillId="3" borderId="1" xfId="0" applyFont="1" applyFill="1" applyBorder="1" applyAlignment="1">
      <alignment horizontal="center" vertical="top" wrapText="1"/>
    </xf>
    <xf numFmtId="2" fontId="0" fillId="0" borderId="1" xfId="0" applyNumberFormat="1" applyBorder="1"/>
    <xf numFmtId="0" fontId="3" fillId="0" borderId="1" xfId="0" applyFont="1" applyBorder="1" applyAlignment="1">
      <alignment horizontal="center"/>
    </xf>
    <xf numFmtId="0" fontId="2" fillId="3" borderId="2" xfId="0" applyFont="1" applyFill="1" applyBorder="1" applyAlignment="1">
      <alignment horizontal="center" vertical="top" wrapText="1"/>
    </xf>
    <xf numFmtId="0" fontId="2" fillId="3" borderId="0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Mejora del fitness 987654321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seed_987654321!$B$2:$B$51</c:f>
              <c:numCache>
                <c:formatCode>General</c:formatCode>
                <c:ptCount val="50"/>
                <c:pt idx="0">
                  <c:v>-635</c:v>
                </c:pt>
                <c:pt idx="1">
                  <c:v>-635</c:v>
                </c:pt>
                <c:pt idx="2">
                  <c:v>-320</c:v>
                </c:pt>
                <c:pt idx="3">
                  <c:v>-320</c:v>
                </c:pt>
                <c:pt idx="4">
                  <c:v>-215</c:v>
                </c:pt>
                <c:pt idx="5">
                  <c:v>-215</c:v>
                </c:pt>
                <c:pt idx="6">
                  <c:v>-150</c:v>
                </c:pt>
                <c:pt idx="7">
                  <c:v>-150</c:v>
                </c:pt>
                <c:pt idx="8">
                  <c:v>-45</c:v>
                </c:pt>
                <c:pt idx="9">
                  <c:v>-45</c:v>
                </c:pt>
                <c:pt idx="10">
                  <c:v>-45</c:v>
                </c:pt>
                <c:pt idx="11">
                  <c:v>-30</c:v>
                </c:pt>
                <c:pt idx="12">
                  <c:v>-30</c:v>
                </c:pt>
                <c:pt idx="13">
                  <c:v>-30</c:v>
                </c:pt>
                <c:pt idx="14">
                  <c:v>-30</c:v>
                </c:pt>
                <c:pt idx="15">
                  <c:v>-30</c:v>
                </c:pt>
                <c:pt idx="16">
                  <c:v>-30</c:v>
                </c:pt>
                <c:pt idx="17">
                  <c:v>-30</c:v>
                </c:pt>
                <c:pt idx="18">
                  <c:v>25</c:v>
                </c:pt>
                <c:pt idx="19">
                  <c:v>25</c:v>
                </c:pt>
                <c:pt idx="20">
                  <c:v>-30</c:v>
                </c:pt>
                <c:pt idx="21">
                  <c:v>-30</c:v>
                </c:pt>
                <c:pt idx="22">
                  <c:v>-30</c:v>
                </c:pt>
                <c:pt idx="23">
                  <c:v>-30</c:v>
                </c:pt>
                <c:pt idx="24">
                  <c:v>0</c:v>
                </c:pt>
                <c:pt idx="25">
                  <c:v>0</c:v>
                </c:pt>
                <c:pt idx="26">
                  <c:v>180</c:v>
                </c:pt>
                <c:pt idx="27">
                  <c:v>180</c:v>
                </c:pt>
                <c:pt idx="28">
                  <c:v>180</c:v>
                </c:pt>
                <c:pt idx="29">
                  <c:v>180</c:v>
                </c:pt>
                <c:pt idx="30">
                  <c:v>180</c:v>
                </c:pt>
                <c:pt idx="31">
                  <c:v>180</c:v>
                </c:pt>
                <c:pt idx="32">
                  <c:v>180</c:v>
                </c:pt>
                <c:pt idx="33">
                  <c:v>180</c:v>
                </c:pt>
                <c:pt idx="34">
                  <c:v>180</c:v>
                </c:pt>
                <c:pt idx="35">
                  <c:v>180</c:v>
                </c:pt>
                <c:pt idx="36">
                  <c:v>180</c:v>
                </c:pt>
                <c:pt idx="37">
                  <c:v>195</c:v>
                </c:pt>
                <c:pt idx="38">
                  <c:v>180</c:v>
                </c:pt>
                <c:pt idx="39">
                  <c:v>180</c:v>
                </c:pt>
                <c:pt idx="40">
                  <c:v>180</c:v>
                </c:pt>
                <c:pt idx="41">
                  <c:v>180</c:v>
                </c:pt>
                <c:pt idx="42">
                  <c:v>435</c:v>
                </c:pt>
                <c:pt idx="43">
                  <c:v>435</c:v>
                </c:pt>
                <c:pt idx="44">
                  <c:v>435</c:v>
                </c:pt>
                <c:pt idx="45">
                  <c:v>530</c:v>
                </c:pt>
                <c:pt idx="46">
                  <c:v>530</c:v>
                </c:pt>
                <c:pt idx="47">
                  <c:v>530</c:v>
                </c:pt>
                <c:pt idx="48">
                  <c:v>530</c:v>
                </c:pt>
                <c:pt idx="49">
                  <c:v>530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2E-4518-8F4A-866829AF4B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430062720"/>
        <c:axId val="430063200"/>
      </c:lineChart>
      <c:catAx>
        <c:axId val="430062720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063200"/>
        <c:crosses val="autoZero"/>
        <c:auto val="1"/>
        <c:lblAlgn val="ctr"/>
        <c:lblOffset val="100"/>
        <c:noMultiLvlLbl val="0"/>
      </c:catAx>
      <c:valAx>
        <c:axId val="430063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062720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Mejora del fitness 123456789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seed_123456789!$B$2:$B$51</c:f>
              <c:numCache>
                <c:formatCode>General</c:formatCode>
                <c:ptCount val="50"/>
                <c:pt idx="0">
                  <c:v>-810</c:v>
                </c:pt>
                <c:pt idx="1">
                  <c:v>-760</c:v>
                </c:pt>
                <c:pt idx="2">
                  <c:v>-760</c:v>
                </c:pt>
                <c:pt idx="3">
                  <c:v>-670</c:v>
                </c:pt>
                <c:pt idx="4">
                  <c:v>105</c:v>
                </c:pt>
                <c:pt idx="5">
                  <c:v>-535</c:v>
                </c:pt>
                <c:pt idx="6">
                  <c:v>-535</c:v>
                </c:pt>
                <c:pt idx="7">
                  <c:v>-535</c:v>
                </c:pt>
                <c:pt idx="8">
                  <c:v>-535</c:v>
                </c:pt>
                <c:pt idx="9">
                  <c:v>-515</c:v>
                </c:pt>
                <c:pt idx="10">
                  <c:v>-515</c:v>
                </c:pt>
                <c:pt idx="11">
                  <c:v>-535</c:v>
                </c:pt>
                <c:pt idx="12">
                  <c:v>-535</c:v>
                </c:pt>
                <c:pt idx="13">
                  <c:v>-525</c:v>
                </c:pt>
                <c:pt idx="14">
                  <c:v>-525</c:v>
                </c:pt>
                <c:pt idx="15">
                  <c:v>-525</c:v>
                </c:pt>
                <c:pt idx="16">
                  <c:v>-525</c:v>
                </c:pt>
                <c:pt idx="17">
                  <c:v>-525</c:v>
                </c:pt>
                <c:pt idx="18">
                  <c:v>-525</c:v>
                </c:pt>
                <c:pt idx="19">
                  <c:v>-525</c:v>
                </c:pt>
                <c:pt idx="20">
                  <c:v>-355</c:v>
                </c:pt>
                <c:pt idx="21">
                  <c:v>-355</c:v>
                </c:pt>
                <c:pt idx="22">
                  <c:v>-355</c:v>
                </c:pt>
                <c:pt idx="23">
                  <c:v>-355</c:v>
                </c:pt>
                <c:pt idx="24">
                  <c:v>-355</c:v>
                </c:pt>
                <c:pt idx="25">
                  <c:v>-160</c:v>
                </c:pt>
                <c:pt idx="26">
                  <c:v>-160</c:v>
                </c:pt>
                <c:pt idx="27">
                  <c:v>-160</c:v>
                </c:pt>
                <c:pt idx="28">
                  <c:v>-160</c:v>
                </c:pt>
                <c:pt idx="29">
                  <c:v>-160</c:v>
                </c:pt>
                <c:pt idx="30">
                  <c:v>-160</c:v>
                </c:pt>
                <c:pt idx="31">
                  <c:v>-160</c:v>
                </c:pt>
                <c:pt idx="32">
                  <c:v>-325</c:v>
                </c:pt>
                <c:pt idx="33">
                  <c:v>-325</c:v>
                </c:pt>
                <c:pt idx="34">
                  <c:v>-155</c:v>
                </c:pt>
                <c:pt idx="35">
                  <c:v>-155</c:v>
                </c:pt>
                <c:pt idx="36">
                  <c:v>-155</c:v>
                </c:pt>
                <c:pt idx="37">
                  <c:v>-155</c:v>
                </c:pt>
                <c:pt idx="38">
                  <c:v>-155</c:v>
                </c:pt>
                <c:pt idx="39">
                  <c:v>-155</c:v>
                </c:pt>
                <c:pt idx="40">
                  <c:v>-155</c:v>
                </c:pt>
                <c:pt idx="41">
                  <c:v>-155</c:v>
                </c:pt>
                <c:pt idx="42">
                  <c:v>-155</c:v>
                </c:pt>
                <c:pt idx="43">
                  <c:v>-145</c:v>
                </c:pt>
                <c:pt idx="44">
                  <c:v>-145</c:v>
                </c:pt>
                <c:pt idx="45">
                  <c:v>-60</c:v>
                </c:pt>
                <c:pt idx="46">
                  <c:v>120</c:v>
                </c:pt>
                <c:pt idx="47">
                  <c:v>120</c:v>
                </c:pt>
                <c:pt idx="48">
                  <c:v>120</c:v>
                </c:pt>
                <c:pt idx="49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08-452A-9467-4D4DB50E8D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2299551"/>
        <c:axId val="742300991"/>
      </c:lineChart>
      <c:catAx>
        <c:axId val="742299551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300991"/>
        <c:crosses val="autoZero"/>
        <c:auto val="1"/>
        <c:lblAlgn val="ctr"/>
        <c:lblOffset val="100"/>
        <c:noMultiLvlLbl val="0"/>
      </c:catAx>
      <c:valAx>
        <c:axId val="742300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299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Mejora del fitness 121212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seed_121212!$B$2:$B$51</c:f>
              <c:numCache>
                <c:formatCode>General</c:formatCode>
                <c:ptCount val="50"/>
                <c:pt idx="0">
                  <c:v>-490</c:v>
                </c:pt>
                <c:pt idx="1">
                  <c:v>-25</c:v>
                </c:pt>
                <c:pt idx="2">
                  <c:v>-25</c:v>
                </c:pt>
                <c:pt idx="3">
                  <c:v>105</c:v>
                </c:pt>
                <c:pt idx="4">
                  <c:v>390</c:v>
                </c:pt>
                <c:pt idx="5">
                  <c:v>390</c:v>
                </c:pt>
                <c:pt idx="6">
                  <c:v>390</c:v>
                </c:pt>
                <c:pt idx="7">
                  <c:v>390</c:v>
                </c:pt>
                <c:pt idx="8">
                  <c:v>390</c:v>
                </c:pt>
                <c:pt idx="9">
                  <c:v>390</c:v>
                </c:pt>
                <c:pt idx="10">
                  <c:v>390</c:v>
                </c:pt>
                <c:pt idx="11">
                  <c:v>390</c:v>
                </c:pt>
                <c:pt idx="12">
                  <c:v>390</c:v>
                </c:pt>
                <c:pt idx="13">
                  <c:v>390</c:v>
                </c:pt>
                <c:pt idx="14">
                  <c:v>390</c:v>
                </c:pt>
                <c:pt idx="15">
                  <c:v>390</c:v>
                </c:pt>
                <c:pt idx="16">
                  <c:v>390</c:v>
                </c:pt>
                <c:pt idx="17">
                  <c:v>390</c:v>
                </c:pt>
                <c:pt idx="18">
                  <c:v>390</c:v>
                </c:pt>
                <c:pt idx="19">
                  <c:v>390</c:v>
                </c:pt>
                <c:pt idx="20">
                  <c:v>390</c:v>
                </c:pt>
                <c:pt idx="21">
                  <c:v>390</c:v>
                </c:pt>
                <c:pt idx="22">
                  <c:v>390</c:v>
                </c:pt>
                <c:pt idx="23">
                  <c:v>390</c:v>
                </c:pt>
                <c:pt idx="24">
                  <c:v>390</c:v>
                </c:pt>
                <c:pt idx="25">
                  <c:v>390</c:v>
                </c:pt>
                <c:pt idx="26">
                  <c:v>390</c:v>
                </c:pt>
                <c:pt idx="27">
                  <c:v>470</c:v>
                </c:pt>
                <c:pt idx="28">
                  <c:v>470</c:v>
                </c:pt>
                <c:pt idx="29">
                  <c:v>470</c:v>
                </c:pt>
                <c:pt idx="30">
                  <c:v>470</c:v>
                </c:pt>
                <c:pt idx="31">
                  <c:v>505</c:v>
                </c:pt>
                <c:pt idx="32">
                  <c:v>635</c:v>
                </c:pt>
                <c:pt idx="33">
                  <c:v>635</c:v>
                </c:pt>
                <c:pt idx="34">
                  <c:v>635</c:v>
                </c:pt>
                <c:pt idx="35">
                  <c:v>635</c:v>
                </c:pt>
                <c:pt idx="36">
                  <c:v>635</c:v>
                </c:pt>
                <c:pt idx="37">
                  <c:v>635</c:v>
                </c:pt>
                <c:pt idx="38">
                  <c:v>640</c:v>
                </c:pt>
                <c:pt idx="39">
                  <c:v>640</c:v>
                </c:pt>
                <c:pt idx="40">
                  <c:v>640</c:v>
                </c:pt>
                <c:pt idx="41">
                  <c:v>640</c:v>
                </c:pt>
                <c:pt idx="42">
                  <c:v>640</c:v>
                </c:pt>
                <c:pt idx="43">
                  <c:v>640</c:v>
                </c:pt>
                <c:pt idx="44">
                  <c:v>640</c:v>
                </c:pt>
                <c:pt idx="45">
                  <c:v>640</c:v>
                </c:pt>
                <c:pt idx="46">
                  <c:v>640</c:v>
                </c:pt>
                <c:pt idx="47">
                  <c:v>565</c:v>
                </c:pt>
                <c:pt idx="48">
                  <c:v>565</c:v>
                </c:pt>
                <c:pt idx="49">
                  <c:v>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DC-4C06-8659-6BD688D5C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8395024"/>
        <c:axId val="488394544"/>
      </c:lineChart>
      <c:catAx>
        <c:axId val="488395024"/>
        <c:scaling>
          <c:orientation val="minMax"/>
        </c:scaling>
        <c:delete val="0"/>
        <c:axPos val="b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394544"/>
        <c:crosses val="autoZero"/>
        <c:auto val="1"/>
        <c:lblAlgn val="ctr"/>
        <c:lblOffset val="100"/>
        <c:noMultiLvlLbl val="0"/>
      </c:catAx>
      <c:valAx>
        <c:axId val="48839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395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Mejores fitness x </a:t>
            </a:r>
            <a:r>
              <a:rPr lang="en-US" sz="2000" baseline="0"/>
              <a:t>Generación </a:t>
            </a:r>
            <a:endParaRPr lang="en-US" sz="2000"/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51367506737153"/>
          <c:y val="9.5760249796361663E-2"/>
          <c:w val="0.77553919034234908"/>
          <c:h val="0.69740180106797001"/>
        </c:manualLayout>
      </c:layout>
      <c:lineChart>
        <c:grouping val="standard"/>
        <c:varyColors val="0"/>
        <c:ser>
          <c:idx val="0"/>
          <c:order val="0"/>
          <c:tx>
            <c:strRef>
              <c:f>seed_987654321!$F$1</c:f>
              <c:strCache>
                <c:ptCount val="1"/>
                <c:pt idx="0">
                  <c:v>seed 987654321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seed_987654321!$B$2:$B$51</c:f>
              <c:numCache>
                <c:formatCode>General</c:formatCode>
                <c:ptCount val="50"/>
                <c:pt idx="0">
                  <c:v>-635</c:v>
                </c:pt>
                <c:pt idx="1">
                  <c:v>-635</c:v>
                </c:pt>
                <c:pt idx="2">
                  <c:v>-320</c:v>
                </c:pt>
                <c:pt idx="3">
                  <c:v>-320</c:v>
                </c:pt>
                <c:pt idx="4">
                  <c:v>-215</c:v>
                </c:pt>
                <c:pt idx="5">
                  <c:v>-215</c:v>
                </c:pt>
                <c:pt idx="6">
                  <c:v>-150</c:v>
                </c:pt>
                <c:pt idx="7">
                  <c:v>-150</c:v>
                </c:pt>
                <c:pt idx="8">
                  <c:v>-45</c:v>
                </c:pt>
                <c:pt idx="9">
                  <c:v>-45</c:v>
                </c:pt>
                <c:pt idx="10">
                  <c:v>-45</c:v>
                </c:pt>
                <c:pt idx="11">
                  <c:v>-30</c:v>
                </c:pt>
                <c:pt idx="12">
                  <c:v>-30</c:v>
                </c:pt>
                <c:pt idx="13">
                  <c:v>-30</c:v>
                </c:pt>
                <c:pt idx="14">
                  <c:v>-30</c:v>
                </c:pt>
                <c:pt idx="15">
                  <c:v>-30</c:v>
                </c:pt>
                <c:pt idx="16">
                  <c:v>-30</c:v>
                </c:pt>
                <c:pt idx="17">
                  <c:v>-30</c:v>
                </c:pt>
                <c:pt idx="18">
                  <c:v>25</c:v>
                </c:pt>
                <c:pt idx="19">
                  <c:v>25</c:v>
                </c:pt>
                <c:pt idx="20">
                  <c:v>-30</c:v>
                </c:pt>
                <c:pt idx="21">
                  <c:v>-30</c:v>
                </c:pt>
                <c:pt idx="22">
                  <c:v>-30</c:v>
                </c:pt>
                <c:pt idx="23">
                  <c:v>-30</c:v>
                </c:pt>
                <c:pt idx="24">
                  <c:v>0</c:v>
                </c:pt>
                <c:pt idx="25">
                  <c:v>0</c:v>
                </c:pt>
                <c:pt idx="26">
                  <c:v>180</c:v>
                </c:pt>
                <c:pt idx="27">
                  <c:v>180</c:v>
                </c:pt>
                <c:pt idx="28">
                  <c:v>180</c:v>
                </c:pt>
                <c:pt idx="29">
                  <c:v>180</c:v>
                </c:pt>
                <c:pt idx="30">
                  <c:v>180</c:v>
                </c:pt>
                <c:pt idx="31">
                  <c:v>180</c:v>
                </c:pt>
                <c:pt idx="32">
                  <c:v>180</c:v>
                </c:pt>
                <c:pt idx="33">
                  <c:v>180</c:v>
                </c:pt>
                <c:pt idx="34">
                  <c:v>180</c:v>
                </c:pt>
                <c:pt idx="35">
                  <c:v>180</c:v>
                </c:pt>
                <c:pt idx="36">
                  <c:v>180</c:v>
                </c:pt>
                <c:pt idx="37">
                  <c:v>195</c:v>
                </c:pt>
                <c:pt idx="38">
                  <c:v>180</c:v>
                </c:pt>
                <c:pt idx="39">
                  <c:v>180</c:v>
                </c:pt>
                <c:pt idx="40">
                  <c:v>180</c:v>
                </c:pt>
                <c:pt idx="41">
                  <c:v>180</c:v>
                </c:pt>
                <c:pt idx="42">
                  <c:v>435</c:v>
                </c:pt>
                <c:pt idx="43">
                  <c:v>435</c:v>
                </c:pt>
                <c:pt idx="44">
                  <c:v>435</c:v>
                </c:pt>
                <c:pt idx="45">
                  <c:v>530</c:v>
                </c:pt>
                <c:pt idx="46">
                  <c:v>530</c:v>
                </c:pt>
                <c:pt idx="47">
                  <c:v>530</c:v>
                </c:pt>
                <c:pt idx="48">
                  <c:v>530</c:v>
                </c:pt>
                <c:pt idx="49">
                  <c:v>530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E4-4614-904D-14F32C664076}"/>
            </c:ext>
          </c:extLst>
        </c:ser>
        <c:ser>
          <c:idx val="1"/>
          <c:order val="1"/>
          <c:tx>
            <c:strRef>
              <c:f>seed_123456789!$F$1</c:f>
              <c:strCache>
                <c:ptCount val="1"/>
                <c:pt idx="0">
                  <c:v>seed 123456789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seed_123456789!$B$2:$B$51</c:f>
              <c:numCache>
                <c:formatCode>General</c:formatCode>
                <c:ptCount val="50"/>
                <c:pt idx="0">
                  <c:v>-810</c:v>
                </c:pt>
                <c:pt idx="1">
                  <c:v>-760</c:v>
                </c:pt>
                <c:pt idx="2">
                  <c:v>-760</c:v>
                </c:pt>
                <c:pt idx="3">
                  <c:v>-670</c:v>
                </c:pt>
                <c:pt idx="4">
                  <c:v>105</c:v>
                </c:pt>
                <c:pt idx="5">
                  <c:v>-535</c:v>
                </c:pt>
                <c:pt idx="6">
                  <c:v>-535</c:v>
                </c:pt>
                <c:pt idx="7">
                  <c:v>-535</c:v>
                </c:pt>
                <c:pt idx="8">
                  <c:v>-535</c:v>
                </c:pt>
                <c:pt idx="9">
                  <c:v>-515</c:v>
                </c:pt>
                <c:pt idx="10">
                  <c:v>-515</c:v>
                </c:pt>
                <c:pt idx="11">
                  <c:v>-535</c:v>
                </c:pt>
                <c:pt idx="12">
                  <c:v>-535</c:v>
                </c:pt>
                <c:pt idx="13">
                  <c:v>-525</c:v>
                </c:pt>
                <c:pt idx="14">
                  <c:v>-525</c:v>
                </c:pt>
                <c:pt idx="15">
                  <c:v>-525</c:v>
                </c:pt>
                <c:pt idx="16">
                  <c:v>-525</c:v>
                </c:pt>
                <c:pt idx="17">
                  <c:v>-525</c:v>
                </c:pt>
                <c:pt idx="18">
                  <c:v>-525</c:v>
                </c:pt>
                <c:pt idx="19">
                  <c:v>-525</c:v>
                </c:pt>
                <c:pt idx="20">
                  <c:v>-355</c:v>
                </c:pt>
                <c:pt idx="21">
                  <c:v>-355</c:v>
                </c:pt>
                <c:pt idx="22">
                  <c:v>-355</c:v>
                </c:pt>
                <c:pt idx="23">
                  <c:v>-355</c:v>
                </c:pt>
                <c:pt idx="24">
                  <c:v>-355</c:v>
                </c:pt>
                <c:pt idx="25">
                  <c:v>-160</c:v>
                </c:pt>
                <c:pt idx="26">
                  <c:v>-160</c:v>
                </c:pt>
                <c:pt idx="27">
                  <c:v>-160</c:v>
                </c:pt>
                <c:pt idx="28">
                  <c:v>-160</c:v>
                </c:pt>
                <c:pt idx="29">
                  <c:v>-160</c:v>
                </c:pt>
                <c:pt idx="30">
                  <c:v>-160</c:v>
                </c:pt>
                <c:pt idx="31">
                  <c:v>-160</c:v>
                </c:pt>
                <c:pt idx="32">
                  <c:v>-325</c:v>
                </c:pt>
                <c:pt idx="33">
                  <c:v>-325</c:v>
                </c:pt>
                <c:pt idx="34">
                  <c:v>-155</c:v>
                </c:pt>
                <c:pt idx="35">
                  <c:v>-155</c:v>
                </c:pt>
                <c:pt idx="36">
                  <c:v>-155</c:v>
                </c:pt>
                <c:pt idx="37">
                  <c:v>-155</c:v>
                </c:pt>
                <c:pt idx="38">
                  <c:v>-155</c:v>
                </c:pt>
                <c:pt idx="39">
                  <c:v>-155</c:v>
                </c:pt>
                <c:pt idx="40">
                  <c:v>-155</c:v>
                </c:pt>
                <c:pt idx="41">
                  <c:v>-155</c:v>
                </c:pt>
                <c:pt idx="42">
                  <c:v>-155</c:v>
                </c:pt>
                <c:pt idx="43">
                  <c:v>-145</c:v>
                </c:pt>
                <c:pt idx="44">
                  <c:v>-145</c:v>
                </c:pt>
                <c:pt idx="45">
                  <c:v>-60</c:v>
                </c:pt>
                <c:pt idx="46">
                  <c:v>120</c:v>
                </c:pt>
                <c:pt idx="47">
                  <c:v>120</c:v>
                </c:pt>
                <c:pt idx="48">
                  <c:v>120</c:v>
                </c:pt>
                <c:pt idx="49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E4-4614-904D-14F32C664076}"/>
            </c:ext>
          </c:extLst>
        </c:ser>
        <c:ser>
          <c:idx val="2"/>
          <c:order val="2"/>
          <c:tx>
            <c:strRef>
              <c:f>seed_121212!$F$1</c:f>
              <c:strCache>
                <c:ptCount val="1"/>
                <c:pt idx="0">
                  <c:v>seed 121212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seed_121212!$B$2:$B$51</c:f>
              <c:numCache>
                <c:formatCode>General</c:formatCode>
                <c:ptCount val="50"/>
                <c:pt idx="0">
                  <c:v>-490</c:v>
                </c:pt>
                <c:pt idx="1">
                  <c:v>-25</c:v>
                </c:pt>
                <c:pt idx="2">
                  <c:v>-25</c:v>
                </c:pt>
                <c:pt idx="3">
                  <c:v>105</c:v>
                </c:pt>
                <c:pt idx="4">
                  <c:v>390</c:v>
                </c:pt>
                <c:pt idx="5">
                  <c:v>390</c:v>
                </c:pt>
                <c:pt idx="6">
                  <c:v>390</c:v>
                </c:pt>
                <c:pt idx="7">
                  <c:v>390</c:v>
                </c:pt>
                <c:pt idx="8">
                  <c:v>390</c:v>
                </c:pt>
                <c:pt idx="9">
                  <c:v>390</c:v>
                </c:pt>
                <c:pt idx="10">
                  <c:v>390</c:v>
                </c:pt>
                <c:pt idx="11">
                  <c:v>390</c:v>
                </c:pt>
                <c:pt idx="12">
                  <c:v>390</c:v>
                </c:pt>
                <c:pt idx="13">
                  <c:v>390</c:v>
                </c:pt>
                <c:pt idx="14">
                  <c:v>390</c:v>
                </c:pt>
                <c:pt idx="15">
                  <c:v>390</c:v>
                </c:pt>
                <c:pt idx="16">
                  <c:v>390</c:v>
                </c:pt>
                <c:pt idx="17">
                  <c:v>390</c:v>
                </c:pt>
                <c:pt idx="18">
                  <c:v>390</c:v>
                </c:pt>
                <c:pt idx="19">
                  <c:v>390</c:v>
                </c:pt>
                <c:pt idx="20">
                  <c:v>390</c:v>
                </c:pt>
                <c:pt idx="21">
                  <c:v>390</c:v>
                </c:pt>
                <c:pt idx="22">
                  <c:v>390</c:v>
                </c:pt>
                <c:pt idx="23">
                  <c:v>390</c:v>
                </c:pt>
                <c:pt idx="24">
                  <c:v>390</c:v>
                </c:pt>
                <c:pt idx="25">
                  <c:v>390</c:v>
                </c:pt>
                <c:pt idx="26">
                  <c:v>390</c:v>
                </c:pt>
                <c:pt idx="27">
                  <c:v>470</c:v>
                </c:pt>
                <c:pt idx="28">
                  <c:v>470</c:v>
                </c:pt>
                <c:pt idx="29">
                  <c:v>470</c:v>
                </c:pt>
                <c:pt idx="30">
                  <c:v>470</c:v>
                </c:pt>
                <c:pt idx="31">
                  <c:v>505</c:v>
                </c:pt>
                <c:pt idx="32">
                  <c:v>635</c:v>
                </c:pt>
                <c:pt idx="33">
                  <c:v>635</c:v>
                </c:pt>
                <c:pt idx="34">
                  <c:v>635</c:v>
                </c:pt>
                <c:pt idx="35">
                  <c:v>635</c:v>
                </c:pt>
                <c:pt idx="36">
                  <c:v>635</c:v>
                </c:pt>
                <c:pt idx="37">
                  <c:v>635</c:v>
                </c:pt>
                <c:pt idx="38">
                  <c:v>640</c:v>
                </c:pt>
                <c:pt idx="39">
                  <c:v>640</c:v>
                </c:pt>
                <c:pt idx="40">
                  <c:v>640</c:v>
                </c:pt>
                <c:pt idx="41">
                  <c:v>640</c:v>
                </c:pt>
                <c:pt idx="42">
                  <c:v>640</c:v>
                </c:pt>
                <c:pt idx="43">
                  <c:v>640</c:v>
                </c:pt>
                <c:pt idx="44">
                  <c:v>640</c:v>
                </c:pt>
                <c:pt idx="45">
                  <c:v>640</c:v>
                </c:pt>
                <c:pt idx="46">
                  <c:v>640</c:v>
                </c:pt>
                <c:pt idx="47">
                  <c:v>565</c:v>
                </c:pt>
                <c:pt idx="48">
                  <c:v>565</c:v>
                </c:pt>
                <c:pt idx="49">
                  <c:v>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7E4-4614-904D-14F32C6640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4642239"/>
        <c:axId val="784640799"/>
      </c:lineChart>
      <c:catAx>
        <c:axId val="7846422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generación</a:t>
                </a:r>
              </a:p>
            </c:rich>
          </c:tx>
          <c:layout>
            <c:manualLayout>
              <c:xMode val="edge"/>
              <c:yMode val="edge"/>
              <c:x val="0.41755021314420182"/>
              <c:y val="0.861732962259027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640799"/>
        <c:crosses val="autoZero"/>
        <c:auto val="1"/>
        <c:lblAlgn val="ctr"/>
        <c:lblOffset val="100"/>
        <c:noMultiLvlLbl val="0"/>
      </c:catAx>
      <c:valAx>
        <c:axId val="78464079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Mejor</a:t>
                </a:r>
                <a:r>
                  <a:rPr lang="en-US" sz="2000" baseline="0"/>
                  <a:t> fitness</a:t>
                </a:r>
              </a:p>
            </c:rich>
          </c:tx>
          <c:layout>
            <c:manualLayout>
              <c:xMode val="edge"/>
              <c:yMode val="edge"/>
              <c:x val="2.1543658668490839E-2"/>
              <c:y val="0.341084713548737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642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848697838130358"/>
          <c:y val="0.55554552448185357"/>
          <c:w val="0.18190272387676709"/>
          <c:h val="0.145475156122726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Mejor fitness vs Promedio Fitness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Mejor promedio fitness entre las semillas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Summary!$B$2:$B$51</c:f>
              <c:numCache>
                <c:formatCode>0.00</c:formatCode>
                <c:ptCount val="50"/>
                <c:pt idx="0">
                  <c:v>-645</c:v>
                </c:pt>
                <c:pt idx="1">
                  <c:v>-473.33333333333331</c:v>
                </c:pt>
                <c:pt idx="2">
                  <c:v>-368.33333333333331</c:v>
                </c:pt>
                <c:pt idx="3">
                  <c:v>-295</c:v>
                </c:pt>
                <c:pt idx="4">
                  <c:v>93.333333333333329</c:v>
                </c:pt>
                <c:pt idx="5">
                  <c:v>-120</c:v>
                </c:pt>
                <c:pt idx="6">
                  <c:v>-98.333333333333329</c:v>
                </c:pt>
                <c:pt idx="7">
                  <c:v>-98.333333333333329</c:v>
                </c:pt>
                <c:pt idx="8">
                  <c:v>-63.333333333333336</c:v>
                </c:pt>
                <c:pt idx="9">
                  <c:v>-56.666666666666664</c:v>
                </c:pt>
                <c:pt idx="10">
                  <c:v>-56.666666666666664</c:v>
                </c:pt>
                <c:pt idx="11">
                  <c:v>-58.333333333333336</c:v>
                </c:pt>
                <c:pt idx="12">
                  <c:v>-58.333333333333336</c:v>
                </c:pt>
                <c:pt idx="13">
                  <c:v>-55</c:v>
                </c:pt>
                <c:pt idx="14">
                  <c:v>-55</c:v>
                </c:pt>
                <c:pt idx="15">
                  <c:v>-55</c:v>
                </c:pt>
                <c:pt idx="16">
                  <c:v>-55</c:v>
                </c:pt>
                <c:pt idx="17">
                  <c:v>-55</c:v>
                </c:pt>
                <c:pt idx="18">
                  <c:v>-36.666666666666664</c:v>
                </c:pt>
                <c:pt idx="19">
                  <c:v>-36.666666666666664</c:v>
                </c:pt>
                <c:pt idx="20">
                  <c:v>1.6666666666666667</c:v>
                </c:pt>
                <c:pt idx="21">
                  <c:v>1.6666666666666667</c:v>
                </c:pt>
                <c:pt idx="22">
                  <c:v>1.6666666666666667</c:v>
                </c:pt>
                <c:pt idx="23">
                  <c:v>1.6666666666666667</c:v>
                </c:pt>
                <c:pt idx="24">
                  <c:v>11.666666666666666</c:v>
                </c:pt>
                <c:pt idx="25">
                  <c:v>76.666666666666671</c:v>
                </c:pt>
                <c:pt idx="26">
                  <c:v>136.66666666666666</c:v>
                </c:pt>
                <c:pt idx="27">
                  <c:v>163.33333333333334</c:v>
                </c:pt>
                <c:pt idx="28">
                  <c:v>163.33333333333334</c:v>
                </c:pt>
                <c:pt idx="29">
                  <c:v>163.33333333333334</c:v>
                </c:pt>
                <c:pt idx="30">
                  <c:v>163.33333333333334</c:v>
                </c:pt>
                <c:pt idx="31">
                  <c:v>175</c:v>
                </c:pt>
                <c:pt idx="32">
                  <c:v>163.33333333333334</c:v>
                </c:pt>
                <c:pt idx="33">
                  <c:v>163.33333333333334</c:v>
                </c:pt>
                <c:pt idx="34">
                  <c:v>220</c:v>
                </c:pt>
                <c:pt idx="35">
                  <c:v>220</c:v>
                </c:pt>
                <c:pt idx="36">
                  <c:v>220</c:v>
                </c:pt>
                <c:pt idx="37">
                  <c:v>225</c:v>
                </c:pt>
                <c:pt idx="38">
                  <c:v>221.66666666666666</c:v>
                </c:pt>
                <c:pt idx="39">
                  <c:v>221.66666666666666</c:v>
                </c:pt>
                <c:pt idx="40">
                  <c:v>221.66666666666666</c:v>
                </c:pt>
                <c:pt idx="41">
                  <c:v>221.66666666666666</c:v>
                </c:pt>
                <c:pt idx="42">
                  <c:v>306.66666666666669</c:v>
                </c:pt>
                <c:pt idx="43">
                  <c:v>310</c:v>
                </c:pt>
                <c:pt idx="44">
                  <c:v>310</c:v>
                </c:pt>
                <c:pt idx="45">
                  <c:v>370</c:v>
                </c:pt>
                <c:pt idx="46">
                  <c:v>430</c:v>
                </c:pt>
                <c:pt idx="47">
                  <c:v>405</c:v>
                </c:pt>
                <c:pt idx="48">
                  <c:v>405</c:v>
                </c:pt>
                <c:pt idx="49">
                  <c:v>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94-4779-8182-8D34B3D4511C}"/>
            </c:ext>
          </c:extLst>
        </c:ser>
        <c:ser>
          <c:idx val="1"/>
          <c:order val="1"/>
          <c:tx>
            <c:v>Promedio del fitness entre semillas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Summary!$D$2:$D$51</c:f>
              <c:numCache>
                <c:formatCode>0.00</c:formatCode>
                <c:ptCount val="50"/>
                <c:pt idx="0">
                  <c:v>-1233.1666666666667</c:v>
                </c:pt>
                <c:pt idx="1">
                  <c:v>-1123.6666666666667</c:v>
                </c:pt>
                <c:pt idx="2">
                  <c:v>-1160.0833333333333</c:v>
                </c:pt>
                <c:pt idx="3">
                  <c:v>-1087.9166666666667</c:v>
                </c:pt>
                <c:pt idx="4">
                  <c:v>-938.58333333333337</c:v>
                </c:pt>
                <c:pt idx="5">
                  <c:v>-881.41666666666663</c:v>
                </c:pt>
                <c:pt idx="6">
                  <c:v>-1052.4166666666667</c:v>
                </c:pt>
                <c:pt idx="7">
                  <c:v>-951.41666666666663</c:v>
                </c:pt>
                <c:pt idx="8">
                  <c:v>-924.08333333333337</c:v>
                </c:pt>
                <c:pt idx="9">
                  <c:v>-975.5</c:v>
                </c:pt>
                <c:pt idx="10">
                  <c:v>-850.66666666666663</c:v>
                </c:pt>
                <c:pt idx="11">
                  <c:v>-845.66666666666663</c:v>
                </c:pt>
                <c:pt idx="12">
                  <c:v>-977.41666666666663</c:v>
                </c:pt>
                <c:pt idx="13">
                  <c:v>-954.91666666666663</c:v>
                </c:pt>
                <c:pt idx="14">
                  <c:v>-1038.1666666666667</c:v>
                </c:pt>
                <c:pt idx="15">
                  <c:v>-1004</c:v>
                </c:pt>
                <c:pt idx="16">
                  <c:v>-979.16666666666663</c:v>
                </c:pt>
                <c:pt idx="17">
                  <c:v>-938.58333333333337</c:v>
                </c:pt>
                <c:pt idx="18">
                  <c:v>-933.16666666666663</c:v>
                </c:pt>
                <c:pt idx="19">
                  <c:v>-1004.9166666666666</c:v>
                </c:pt>
                <c:pt idx="20">
                  <c:v>-968.25</c:v>
                </c:pt>
                <c:pt idx="21">
                  <c:v>-1047.75</c:v>
                </c:pt>
                <c:pt idx="22">
                  <c:v>-1004.6666666666666</c:v>
                </c:pt>
                <c:pt idx="23">
                  <c:v>-979</c:v>
                </c:pt>
                <c:pt idx="24">
                  <c:v>-885</c:v>
                </c:pt>
                <c:pt idx="25">
                  <c:v>-914.16666666666663</c:v>
                </c:pt>
                <c:pt idx="26">
                  <c:v>-813.75</c:v>
                </c:pt>
                <c:pt idx="27">
                  <c:v>-829.5</c:v>
                </c:pt>
                <c:pt idx="28">
                  <c:v>-849.5</c:v>
                </c:pt>
                <c:pt idx="29">
                  <c:v>-989.66666666666663</c:v>
                </c:pt>
                <c:pt idx="30">
                  <c:v>-908.41666666666663</c:v>
                </c:pt>
                <c:pt idx="31">
                  <c:v>-795.33333333333337</c:v>
                </c:pt>
                <c:pt idx="32">
                  <c:v>-892.58333333333337</c:v>
                </c:pt>
                <c:pt idx="33">
                  <c:v>-759.33333333333337</c:v>
                </c:pt>
                <c:pt idx="34">
                  <c:v>-830.75</c:v>
                </c:pt>
                <c:pt idx="35">
                  <c:v>-781.66666666666663</c:v>
                </c:pt>
                <c:pt idx="36">
                  <c:v>-820.66666666666663</c:v>
                </c:pt>
                <c:pt idx="37">
                  <c:v>-635.33333333333337</c:v>
                </c:pt>
                <c:pt idx="38">
                  <c:v>-738.83333333333337</c:v>
                </c:pt>
                <c:pt idx="39">
                  <c:v>-821.58333333333337</c:v>
                </c:pt>
                <c:pt idx="40">
                  <c:v>-818.41666666666663</c:v>
                </c:pt>
                <c:pt idx="41">
                  <c:v>-773.66666666666663</c:v>
                </c:pt>
                <c:pt idx="42">
                  <c:v>-879</c:v>
                </c:pt>
                <c:pt idx="43">
                  <c:v>-734.66666666666663</c:v>
                </c:pt>
                <c:pt idx="44">
                  <c:v>-729.75</c:v>
                </c:pt>
                <c:pt idx="45">
                  <c:v>-557.25</c:v>
                </c:pt>
                <c:pt idx="46">
                  <c:v>-748.41666666666663</c:v>
                </c:pt>
                <c:pt idx="47">
                  <c:v>-826.91666666666663</c:v>
                </c:pt>
                <c:pt idx="48">
                  <c:v>-721.5</c:v>
                </c:pt>
                <c:pt idx="49">
                  <c:v>-722.5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94-4779-8182-8D34B3D45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0253679"/>
        <c:axId val="800240239"/>
      </c:lineChart>
      <c:catAx>
        <c:axId val="800253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Generación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240239"/>
        <c:crosses val="autoZero"/>
        <c:auto val="1"/>
        <c:lblAlgn val="ctr"/>
        <c:lblOffset val="100"/>
        <c:noMultiLvlLbl val="0"/>
      </c:catAx>
      <c:valAx>
        <c:axId val="80024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Fitnesss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253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seed_987654321!$F$1</c:f>
              <c:strCache>
                <c:ptCount val="1"/>
                <c:pt idx="0">
                  <c:v>seed 987654321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seed_987654321!$D$2:$D$51</c:f>
              <c:numCache>
                <c:formatCode>0.00</c:formatCode>
                <c:ptCount val="50"/>
                <c:pt idx="0">
                  <c:v>274.20567098439079</c:v>
                </c:pt>
                <c:pt idx="1">
                  <c:v>294.63918612431712</c:v>
                </c:pt>
                <c:pt idx="2">
                  <c:v>384.38782498929379</c:v>
                </c:pt>
                <c:pt idx="3">
                  <c:v>337.34579810633483</c:v>
                </c:pt>
                <c:pt idx="4">
                  <c:v>422.22624267091692</c:v>
                </c:pt>
                <c:pt idx="5">
                  <c:v>342.96601508021172</c:v>
                </c:pt>
                <c:pt idx="6">
                  <c:v>415.50112815731319</c:v>
                </c:pt>
                <c:pt idx="7">
                  <c:v>409.91736972224049</c:v>
                </c:pt>
                <c:pt idx="8">
                  <c:v>496.23986135738829</c:v>
                </c:pt>
                <c:pt idx="9">
                  <c:v>514.81179813597896</c:v>
                </c:pt>
                <c:pt idx="10">
                  <c:v>519.74729436525206</c:v>
                </c:pt>
                <c:pt idx="11">
                  <c:v>591.24762155969813</c:v>
                </c:pt>
                <c:pt idx="12">
                  <c:v>447.38685720526041</c:v>
                </c:pt>
                <c:pt idx="13">
                  <c:v>443.31217837997639</c:v>
                </c:pt>
                <c:pt idx="14">
                  <c:v>491.03182177940357</c:v>
                </c:pt>
                <c:pt idx="15">
                  <c:v>428.77412468571367</c:v>
                </c:pt>
                <c:pt idx="16">
                  <c:v>397.07453645379979</c:v>
                </c:pt>
                <c:pt idx="17">
                  <c:v>420.41051366491769</c:v>
                </c:pt>
                <c:pt idx="18">
                  <c:v>557.49545962276682</c:v>
                </c:pt>
                <c:pt idx="19">
                  <c:v>443.46194876223598</c:v>
                </c:pt>
                <c:pt idx="20">
                  <c:v>433.80547195718958</c:v>
                </c:pt>
                <c:pt idx="21">
                  <c:v>526.16127518090877</c:v>
                </c:pt>
                <c:pt idx="22">
                  <c:v>393.58099547615348</c:v>
                </c:pt>
                <c:pt idx="23">
                  <c:v>473.77499934040418</c:v>
                </c:pt>
                <c:pt idx="24">
                  <c:v>464.31744259719562</c:v>
                </c:pt>
                <c:pt idx="25">
                  <c:v>461.78803308444452</c:v>
                </c:pt>
                <c:pt idx="26">
                  <c:v>549.54407239092302</c:v>
                </c:pt>
                <c:pt idx="27">
                  <c:v>495.97227745106881</c:v>
                </c:pt>
                <c:pt idx="28">
                  <c:v>526.79567908250726</c:v>
                </c:pt>
                <c:pt idx="29">
                  <c:v>481.81499302118033</c:v>
                </c:pt>
                <c:pt idx="30">
                  <c:v>526.72597239931122</c:v>
                </c:pt>
                <c:pt idx="31">
                  <c:v>453.08629145009451</c:v>
                </c:pt>
                <c:pt idx="32">
                  <c:v>519.70490424855529</c:v>
                </c:pt>
                <c:pt idx="33">
                  <c:v>511.0073384991648</c:v>
                </c:pt>
                <c:pt idx="34">
                  <c:v>544.72952003723833</c:v>
                </c:pt>
                <c:pt idx="35">
                  <c:v>471.66089513547757</c:v>
                </c:pt>
                <c:pt idx="36">
                  <c:v>572.42794306357894</c:v>
                </c:pt>
                <c:pt idx="37">
                  <c:v>586.92120425147357</c:v>
                </c:pt>
                <c:pt idx="38">
                  <c:v>518.55110644949934</c:v>
                </c:pt>
                <c:pt idx="39">
                  <c:v>508.67130841045082</c:v>
                </c:pt>
                <c:pt idx="40">
                  <c:v>553.87633998935178</c:v>
                </c:pt>
                <c:pt idx="41">
                  <c:v>482.94047252223538</c:v>
                </c:pt>
                <c:pt idx="42">
                  <c:v>696.91444955604129</c:v>
                </c:pt>
                <c:pt idx="43">
                  <c:v>661.95897720327048</c:v>
                </c:pt>
                <c:pt idx="44">
                  <c:v>504.18473796813811</c:v>
                </c:pt>
                <c:pt idx="45">
                  <c:v>660.63794925813943</c:v>
                </c:pt>
                <c:pt idx="46">
                  <c:v>684.63836256815171</c:v>
                </c:pt>
                <c:pt idx="47">
                  <c:v>704.63660847276446</c:v>
                </c:pt>
                <c:pt idx="48">
                  <c:v>770.47140602361094</c:v>
                </c:pt>
                <c:pt idx="49">
                  <c:v>551.76869021357129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D3-4AB4-8DFA-0E31046FD857}"/>
            </c:ext>
          </c:extLst>
        </c:ser>
        <c:ser>
          <c:idx val="1"/>
          <c:order val="1"/>
          <c:tx>
            <c:strRef>
              <c:f>seed_123456789!$F$1</c:f>
              <c:strCache>
                <c:ptCount val="1"/>
                <c:pt idx="0">
                  <c:v>seed 123456789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seed_123456789!$D$2:$D$51</c:f>
              <c:numCache>
                <c:formatCode>0.00</c:formatCode>
                <c:ptCount val="50"/>
                <c:pt idx="0">
                  <c:v>333.41593768144918</c:v>
                </c:pt>
                <c:pt idx="1">
                  <c:v>328.78602464216749</c:v>
                </c:pt>
                <c:pt idx="2">
                  <c:v>401.85468455649487</c:v>
                </c:pt>
                <c:pt idx="3">
                  <c:v>364.61075134998418</c:v>
                </c:pt>
                <c:pt idx="4">
                  <c:v>498.58449634941519</c:v>
                </c:pt>
                <c:pt idx="5">
                  <c:v>362.86662494641189</c:v>
                </c:pt>
                <c:pt idx="6">
                  <c:v>386.85357372008338</c:v>
                </c:pt>
                <c:pt idx="7">
                  <c:v>356.13410395523761</c:v>
                </c:pt>
                <c:pt idx="8">
                  <c:v>396.35684679339153</c:v>
                </c:pt>
                <c:pt idx="9">
                  <c:v>478.34473708822168</c:v>
                </c:pt>
                <c:pt idx="10">
                  <c:v>386.1246560373994</c:v>
                </c:pt>
                <c:pt idx="11">
                  <c:v>349.19335617963873</c:v>
                </c:pt>
                <c:pt idx="12">
                  <c:v>421.02523677328418</c:v>
                </c:pt>
                <c:pt idx="13">
                  <c:v>431.80290642838429</c:v>
                </c:pt>
                <c:pt idx="14">
                  <c:v>423.42472766714991</c:v>
                </c:pt>
                <c:pt idx="15">
                  <c:v>380.95406547246608</c:v>
                </c:pt>
                <c:pt idx="16">
                  <c:v>369.21631532206158</c:v>
                </c:pt>
                <c:pt idx="17">
                  <c:v>417.85045171687921</c:v>
                </c:pt>
                <c:pt idx="18">
                  <c:v>414.0247577138353</c:v>
                </c:pt>
                <c:pt idx="19">
                  <c:v>326.80756952677831</c:v>
                </c:pt>
                <c:pt idx="20">
                  <c:v>443.73246444225828</c:v>
                </c:pt>
                <c:pt idx="21">
                  <c:v>496.29747883703777</c:v>
                </c:pt>
                <c:pt idx="22">
                  <c:v>479.40327491580621</c:v>
                </c:pt>
                <c:pt idx="23">
                  <c:v>499.71110403912382</c:v>
                </c:pt>
                <c:pt idx="24">
                  <c:v>408.99877750428539</c:v>
                </c:pt>
                <c:pt idx="25">
                  <c:v>517.55048062966762</c:v>
                </c:pt>
                <c:pt idx="26">
                  <c:v>514.2005323801211</c:v>
                </c:pt>
                <c:pt idx="27">
                  <c:v>481.18986637293182</c:v>
                </c:pt>
                <c:pt idx="28">
                  <c:v>494.25297166532039</c:v>
                </c:pt>
                <c:pt idx="29">
                  <c:v>496.29244151004349</c:v>
                </c:pt>
                <c:pt idx="30">
                  <c:v>544.12883354955557</c:v>
                </c:pt>
                <c:pt idx="31">
                  <c:v>529.95866584102578</c:v>
                </c:pt>
                <c:pt idx="32">
                  <c:v>419.0319200251933</c:v>
                </c:pt>
                <c:pt idx="33">
                  <c:v>487.02226591809949</c:v>
                </c:pt>
                <c:pt idx="34">
                  <c:v>496.372843737447</c:v>
                </c:pt>
                <c:pt idx="35">
                  <c:v>369.31448319826291</c:v>
                </c:pt>
                <c:pt idx="36">
                  <c:v>500.50874118240932</c:v>
                </c:pt>
                <c:pt idx="37">
                  <c:v>390.58321776543352</c:v>
                </c:pt>
                <c:pt idx="38">
                  <c:v>353.10577381289022</c:v>
                </c:pt>
                <c:pt idx="39">
                  <c:v>405.52273364140763</c:v>
                </c:pt>
                <c:pt idx="40">
                  <c:v>410.74102242167152</c:v>
                </c:pt>
                <c:pt idx="41">
                  <c:v>457.41092028940449</c:v>
                </c:pt>
                <c:pt idx="42">
                  <c:v>458.57087783678543</c:v>
                </c:pt>
                <c:pt idx="43">
                  <c:v>515.95881618594331</c:v>
                </c:pt>
                <c:pt idx="44">
                  <c:v>412.19011087118531</c:v>
                </c:pt>
                <c:pt idx="45">
                  <c:v>514.25164073632277</c:v>
                </c:pt>
                <c:pt idx="46">
                  <c:v>523.66132900950402</c:v>
                </c:pt>
                <c:pt idx="47">
                  <c:v>488.30856023625063</c:v>
                </c:pt>
                <c:pt idx="48">
                  <c:v>583.88884858335837</c:v>
                </c:pt>
                <c:pt idx="49">
                  <c:v>565.66393512402749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D3-4AB4-8DFA-0E31046FD857}"/>
            </c:ext>
          </c:extLst>
        </c:ser>
        <c:ser>
          <c:idx val="2"/>
          <c:order val="2"/>
          <c:tx>
            <c:strRef>
              <c:f>seed_121212!$F$1</c:f>
              <c:strCache>
                <c:ptCount val="1"/>
                <c:pt idx="0">
                  <c:v>seed 121212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seed_121212!$D$2:$D$51</c:f>
              <c:numCache>
                <c:formatCode>0.00</c:formatCode>
                <c:ptCount val="50"/>
                <c:pt idx="0">
                  <c:v>449.13660227151382</c:v>
                </c:pt>
                <c:pt idx="1">
                  <c:v>392.35188288066109</c:v>
                </c:pt>
                <c:pt idx="2">
                  <c:v>534.75672038787877</c:v>
                </c:pt>
                <c:pt idx="3">
                  <c:v>628.3935868546082</c:v>
                </c:pt>
                <c:pt idx="4">
                  <c:v>509.3438794174325</c:v>
                </c:pt>
                <c:pt idx="5">
                  <c:v>564.04005841783965</c:v>
                </c:pt>
                <c:pt idx="6">
                  <c:v>516.42248934375425</c:v>
                </c:pt>
                <c:pt idx="7">
                  <c:v>617.22863470516336</c:v>
                </c:pt>
                <c:pt idx="8">
                  <c:v>571.84979452649975</c:v>
                </c:pt>
                <c:pt idx="9">
                  <c:v>621.64881565076598</c:v>
                </c:pt>
                <c:pt idx="10">
                  <c:v>452.64610900790922</c:v>
                </c:pt>
                <c:pt idx="11">
                  <c:v>566.25546354980099</c:v>
                </c:pt>
                <c:pt idx="12">
                  <c:v>544.9552160499062</c:v>
                </c:pt>
                <c:pt idx="13">
                  <c:v>588.7059962324148</c:v>
                </c:pt>
                <c:pt idx="14">
                  <c:v>476.91298996777181</c:v>
                </c:pt>
                <c:pt idx="15">
                  <c:v>552.69544054569508</c:v>
                </c:pt>
                <c:pt idx="16">
                  <c:v>499.70266158986988</c:v>
                </c:pt>
                <c:pt idx="17">
                  <c:v>740.13761389352453</c:v>
                </c:pt>
                <c:pt idx="18">
                  <c:v>586.05519151356384</c:v>
                </c:pt>
                <c:pt idx="19">
                  <c:v>604.91920948172901</c:v>
                </c:pt>
                <c:pt idx="20">
                  <c:v>662.29732748970082</c:v>
                </c:pt>
                <c:pt idx="21">
                  <c:v>600.64023133652972</c:v>
                </c:pt>
                <c:pt idx="22">
                  <c:v>540.21153264253815</c:v>
                </c:pt>
                <c:pt idx="23">
                  <c:v>646.17233575881289</c:v>
                </c:pt>
                <c:pt idx="24">
                  <c:v>594.26903629585149</c:v>
                </c:pt>
                <c:pt idx="25">
                  <c:v>635.1316300578959</c:v>
                </c:pt>
                <c:pt idx="26">
                  <c:v>610.45162584761783</c:v>
                </c:pt>
                <c:pt idx="27">
                  <c:v>727.16551589029575</c:v>
                </c:pt>
                <c:pt idx="28">
                  <c:v>633.2599683384384</c:v>
                </c:pt>
                <c:pt idx="29">
                  <c:v>614.84957509947094</c:v>
                </c:pt>
                <c:pt idx="30">
                  <c:v>637.10105163937692</c:v>
                </c:pt>
                <c:pt idx="31">
                  <c:v>574.29413195678751</c:v>
                </c:pt>
                <c:pt idx="32">
                  <c:v>645.84073114042599</c:v>
                </c:pt>
                <c:pt idx="33">
                  <c:v>642.35207441091063</c:v>
                </c:pt>
                <c:pt idx="34">
                  <c:v>605.63246899419119</c:v>
                </c:pt>
                <c:pt idx="35">
                  <c:v>652.97449222768262</c:v>
                </c:pt>
                <c:pt idx="36">
                  <c:v>676.3872781180911</c:v>
                </c:pt>
                <c:pt idx="37">
                  <c:v>557.06619893868992</c:v>
                </c:pt>
                <c:pt idx="38">
                  <c:v>711.55020026699447</c:v>
                </c:pt>
                <c:pt idx="39">
                  <c:v>646.22190461172079</c:v>
                </c:pt>
                <c:pt idx="40">
                  <c:v>654.52540057663157</c:v>
                </c:pt>
                <c:pt idx="41">
                  <c:v>662.69355663081558</c:v>
                </c:pt>
                <c:pt idx="42">
                  <c:v>683.00732060498444</c:v>
                </c:pt>
                <c:pt idx="43">
                  <c:v>581.98641521946195</c:v>
                </c:pt>
                <c:pt idx="44">
                  <c:v>683.95796654472849</c:v>
                </c:pt>
                <c:pt idx="45">
                  <c:v>660.6010047676283</c:v>
                </c:pt>
                <c:pt idx="46">
                  <c:v>677.45899322394416</c:v>
                </c:pt>
                <c:pt idx="47">
                  <c:v>567.50611230188531</c:v>
                </c:pt>
                <c:pt idx="48">
                  <c:v>592.02385931649746</c:v>
                </c:pt>
                <c:pt idx="49">
                  <c:v>609.98893432586135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2D3-4AB4-8DFA-0E31046FD8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9656447"/>
        <c:axId val="609654047"/>
      </c:lineChart>
      <c:catAx>
        <c:axId val="609656447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654047"/>
        <c:crosses val="autoZero"/>
        <c:auto val="1"/>
        <c:lblAlgn val="ctr"/>
        <c:lblOffset val="100"/>
        <c:noMultiLvlLbl val="0"/>
      </c:catAx>
      <c:valAx>
        <c:axId val="609654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656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Desv.</a:t>
            </a:r>
            <a:r>
              <a:rPr lang="en-US" sz="2000" baseline="0"/>
              <a:t> Estándar Promedio x Gen</a:t>
            </a:r>
            <a:endParaRPr lang="en-US" sz="2000"/>
          </a:p>
        </c:rich>
      </c:tx>
      <c:layout>
        <c:manualLayout>
          <c:xMode val="edge"/>
          <c:yMode val="edge"/>
          <c:x val="0.37009477878727759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Summary!$E$2:$E$51</c:f>
              <c:numCache>
                <c:formatCode>0.00</c:formatCode>
                <c:ptCount val="50"/>
                <c:pt idx="0">
                  <c:v>103.26953675804991</c:v>
                </c:pt>
                <c:pt idx="1">
                  <c:v>137.58896112051366</c:v>
                </c:pt>
                <c:pt idx="2">
                  <c:v>186.73090412557733</c:v>
                </c:pt>
                <c:pt idx="3">
                  <c:v>134.75785897510971</c:v>
                </c:pt>
                <c:pt idx="4">
                  <c:v>200.38715999007744</c:v>
                </c:pt>
                <c:pt idx="5">
                  <c:v>187.70647890315939</c:v>
                </c:pt>
                <c:pt idx="6">
                  <c:v>244.47710640376033</c:v>
                </c:pt>
                <c:pt idx="7">
                  <c:v>336.52156526571798</c:v>
                </c:pt>
                <c:pt idx="8">
                  <c:v>277.22210810507562</c:v>
                </c:pt>
                <c:pt idx="9">
                  <c:v>221.3685652179791</c:v>
                </c:pt>
                <c:pt idx="10">
                  <c:v>264.72826739046127</c:v>
                </c:pt>
                <c:pt idx="11">
                  <c:v>256.58407762152524</c:v>
                </c:pt>
                <c:pt idx="12">
                  <c:v>192.46237005941938</c:v>
                </c:pt>
                <c:pt idx="13">
                  <c:v>334.88656868989074</c:v>
                </c:pt>
                <c:pt idx="14">
                  <c:v>235.68564280036708</c:v>
                </c:pt>
                <c:pt idx="15">
                  <c:v>289.18073933095889</c:v>
                </c:pt>
                <c:pt idx="16">
                  <c:v>238.63416328951917</c:v>
                </c:pt>
                <c:pt idx="17">
                  <c:v>249.67982275083602</c:v>
                </c:pt>
                <c:pt idx="18">
                  <c:v>260.19002137326908</c:v>
                </c:pt>
                <c:pt idx="19">
                  <c:v>285.46441206489396</c:v>
                </c:pt>
                <c:pt idx="20">
                  <c:v>236.03398413505346</c:v>
                </c:pt>
                <c:pt idx="21">
                  <c:v>137.350524813947</c:v>
                </c:pt>
                <c:pt idx="22">
                  <c:v>151.97879969112651</c:v>
                </c:pt>
                <c:pt idx="23">
                  <c:v>202.15247957915332</c:v>
                </c:pt>
                <c:pt idx="24">
                  <c:v>339.45599862132354</c:v>
                </c:pt>
                <c:pt idx="25">
                  <c:v>227.61556893635861</c:v>
                </c:pt>
                <c:pt idx="26">
                  <c:v>200.46570779063435</c:v>
                </c:pt>
                <c:pt idx="27">
                  <c:v>181.95684012058098</c:v>
                </c:pt>
                <c:pt idx="28">
                  <c:v>334.94595335168128</c:v>
                </c:pt>
                <c:pt idx="29">
                  <c:v>167.58608898778627</c:v>
                </c:pt>
                <c:pt idx="30">
                  <c:v>163.20696642266498</c:v>
                </c:pt>
                <c:pt idx="31">
                  <c:v>178.42602731166275</c:v>
                </c:pt>
                <c:pt idx="32">
                  <c:v>199.59337135508505</c:v>
                </c:pt>
                <c:pt idx="33">
                  <c:v>208.4952370892172</c:v>
                </c:pt>
                <c:pt idx="34">
                  <c:v>172.83915933607176</c:v>
                </c:pt>
                <c:pt idx="35">
                  <c:v>196.02618164135345</c:v>
                </c:pt>
                <c:pt idx="36">
                  <c:v>188.23847168478133</c:v>
                </c:pt>
                <c:pt idx="37">
                  <c:v>182.93912162854127</c:v>
                </c:pt>
                <c:pt idx="38">
                  <c:v>110.55284055851099</c:v>
                </c:pt>
                <c:pt idx="39">
                  <c:v>144.43948175235499</c:v>
                </c:pt>
                <c:pt idx="40">
                  <c:v>164.54790757979541</c:v>
                </c:pt>
                <c:pt idx="41">
                  <c:v>139.55066781957331</c:v>
                </c:pt>
                <c:pt idx="42">
                  <c:v>100.14739137890712</c:v>
                </c:pt>
                <c:pt idx="43">
                  <c:v>45.289040862246381</c:v>
                </c:pt>
                <c:pt idx="44">
                  <c:v>163.52331638026425</c:v>
                </c:pt>
                <c:pt idx="45">
                  <c:v>164.30167883094398</c:v>
                </c:pt>
                <c:pt idx="46">
                  <c:v>155.04533387224382</c:v>
                </c:pt>
                <c:pt idx="47">
                  <c:v>17.455101132779369</c:v>
                </c:pt>
                <c:pt idx="48">
                  <c:v>157.20064143210951</c:v>
                </c:pt>
                <c:pt idx="49">
                  <c:v>100.65680139298421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A3-442A-BF9E-2D2EAED1B409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879136"/>
        <c:axId val="170880096"/>
      </c:lineChart>
      <c:catAx>
        <c:axId val="1708791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Generación</a:t>
                </a:r>
              </a:p>
              <a:p>
                <a:pPr>
                  <a:defRPr sz="2000"/>
                </a:pPr>
                <a:endParaRPr lang="en-US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880096"/>
        <c:crosses val="autoZero"/>
        <c:auto val="1"/>
        <c:lblAlgn val="ctr"/>
        <c:lblOffset val="100"/>
        <c:noMultiLvlLbl val="0"/>
      </c:catAx>
      <c:valAx>
        <c:axId val="17088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Dev.Estándar</a:t>
                </a:r>
                <a:r>
                  <a:rPr lang="en-US" sz="2000" baseline="0"/>
                  <a:t> promedio x semilla</a:t>
                </a:r>
                <a:endParaRPr lang="en-US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879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428625</xdr:colOff>
      <xdr:row>1</xdr:row>
      <xdr:rowOff>157162</xdr:rowOff>
    </xdr:from>
    <xdr:to>
      <xdr:col>12</xdr:col>
      <xdr:colOff>123825</xdr:colOff>
      <xdr:row>16</xdr:row>
      <xdr:rowOff>42862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521C25A-9588-601E-455C-0A1EB1D3F1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419100</xdr:colOff>
      <xdr:row>2</xdr:row>
      <xdr:rowOff>80962</xdr:rowOff>
    </xdr:from>
    <xdr:to>
      <xdr:col>12</xdr:col>
      <xdr:colOff>114300</xdr:colOff>
      <xdr:row>16</xdr:row>
      <xdr:rowOff>157162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D20D135-6E17-D5E0-2E4A-755DD06CD1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333375</xdr:colOff>
      <xdr:row>2</xdr:row>
      <xdr:rowOff>119062</xdr:rowOff>
    </xdr:from>
    <xdr:to>
      <xdr:col>12</xdr:col>
      <xdr:colOff>28575</xdr:colOff>
      <xdr:row>17</xdr:row>
      <xdr:rowOff>4762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E1BE01E-6730-8A97-258B-2A45814CE5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40171</xdr:colOff>
      <xdr:row>4</xdr:row>
      <xdr:rowOff>28575</xdr:rowOff>
    </xdr:from>
    <xdr:to>
      <xdr:col>17</xdr:col>
      <xdr:colOff>247650</xdr:colOff>
      <xdr:row>19</xdr:row>
      <xdr:rowOff>19050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4438917-8D57-6E7C-CA1A-CA51D9C485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104773</xdr:colOff>
      <xdr:row>19</xdr:row>
      <xdr:rowOff>214311</xdr:rowOff>
    </xdr:from>
    <xdr:to>
      <xdr:col>17</xdr:col>
      <xdr:colOff>523874</xdr:colOff>
      <xdr:row>33</xdr:row>
      <xdr:rowOff>180975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E9D018A2-4D44-4E1F-BC86-A53375E1FF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114300</xdr:colOff>
      <xdr:row>34</xdr:row>
      <xdr:rowOff>23811</xdr:rowOff>
    </xdr:from>
    <xdr:to>
      <xdr:col>20</xdr:col>
      <xdr:colOff>19050</xdr:colOff>
      <xdr:row>49</xdr:row>
      <xdr:rowOff>152399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53AC9256-374A-60E6-F9F4-07462CC642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200024</xdr:colOff>
      <xdr:row>52</xdr:row>
      <xdr:rowOff>176212</xdr:rowOff>
    </xdr:from>
    <xdr:to>
      <xdr:col>20</xdr:col>
      <xdr:colOff>371475</xdr:colOff>
      <xdr:row>67</xdr:row>
      <xdr:rowOff>61912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11466E0-844B-B356-A523-ED89E0915E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opLeftCell="A30" workbookViewId="0">
      <selection activeCell="F1" sqref="F1:L1"/>
    </sheetView>
  </sheetViews>
  <sheetFormatPr baseColWidth="10" defaultColWidth="9.140625" defaultRowHeight="15" x14ac:dyDescent="0.25"/>
  <cols>
    <col min="1" max="4" width="18.7109375" style="1" customWidth="1"/>
  </cols>
  <sheetData>
    <row r="1" spans="1:12" ht="63" customHeight="1" x14ac:dyDescent="0.25">
      <c r="A1" s="11" t="s">
        <v>0</v>
      </c>
      <c r="B1" s="11" t="s">
        <v>2</v>
      </c>
      <c r="C1" s="11" t="s">
        <v>1</v>
      </c>
      <c r="D1" s="11" t="s">
        <v>3</v>
      </c>
      <c r="F1" s="14" t="s">
        <v>9</v>
      </c>
      <c r="G1" s="15"/>
      <c r="H1" s="15"/>
      <c r="I1" s="15"/>
      <c r="J1" s="15"/>
      <c r="K1" s="15"/>
      <c r="L1" s="15"/>
    </row>
    <row r="2" spans="1:12" x14ac:dyDescent="0.25">
      <c r="A2" s="5">
        <v>1</v>
      </c>
      <c r="B2" s="5">
        <v>-635</v>
      </c>
      <c r="C2" s="5">
        <v>-1112.5</v>
      </c>
      <c r="D2" s="6">
        <v>274.20567098439079</v>
      </c>
    </row>
    <row r="3" spans="1:12" x14ac:dyDescent="0.25">
      <c r="A3" s="3">
        <v>2</v>
      </c>
      <c r="B3" s="3">
        <v>-635</v>
      </c>
      <c r="C3" s="3">
        <v>-1134.5</v>
      </c>
      <c r="D3" s="7">
        <v>294.63918612431712</v>
      </c>
    </row>
    <row r="4" spans="1:12" x14ac:dyDescent="0.25">
      <c r="A4" s="3">
        <v>3</v>
      </c>
      <c r="B4" s="3">
        <v>-320</v>
      </c>
      <c r="C4" s="3">
        <v>-1041</v>
      </c>
      <c r="D4" s="7">
        <v>384.38782498929379</v>
      </c>
    </row>
    <row r="5" spans="1:12" x14ac:dyDescent="0.25">
      <c r="A5" s="3">
        <v>4</v>
      </c>
      <c r="B5" s="3">
        <v>-320</v>
      </c>
      <c r="C5" s="3">
        <v>-913.75</v>
      </c>
      <c r="D5" s="7">
        <v>337.34579810633483</v>
      </c>
    </row>
    <row r="6" spans="1:12" x14ac:dyDescent="0.25">
      <c r="A6" s="3">
        <v>5</v>
      </c>
      <c r="B6" s="3">
        <v>-215</v>
      </c>
      <c r="C6" s="3">
        <v>-850</v>
      </c>
      <c r="D6" s="7">
        <v>422.22624267091692</v>
      </c>
    </row>
    <row r="7" spans="1:12" x14ac:dyDescent="0.25">
      <c r="A7" s="3">
        <v>6</v>
      </c>
      <c r="B7" s="3">
        <v>-215</v>
      </c>
      <c r="C7" s="3">
        <v>-733.25</v>
      </c>
      <c r="D7" s="7">
        <v>342.96601508021172</v>
      </c>
    </row>
    <row r="8" spans="1:12" x14ac:dyDescent="0.25">
      <c r="A8" s="3">
        <v>7</v>
      </c>
      <c r="B8" s="3">
        <v>-150</v>
      </c>
      <c r="C8" s="3">
        <v>-965.25</v>
      </c>
      <c r="D8" s="7">
        <v>415.50112815731319</v>
      </c>
    </row>
    <row r="9" spans="1:12" x14ac:dyDescent="0.25">
      <c r="A9" s="3">
        <v>8</v>
      </c>
      <c r="B9" s="3">
        <v>-150</v>
      </c>
      <c r="C9" s="3">
        <v>-975.5</v>
      </c>
      <c r="D9" s="7">
        <v>409.91736972224049</v>
      </c>
    </row>
    <row r="10" spans="1:12" x14ac:dyDescent="0.25">
      <c r="A10" s="3">
        <v>9</v>
      </c>
      <c r="B10" s="3">
        <v>-45</v>
      </c>
      <c r="C10" s="3">
        <v>-776</v>
      </c>
      <c r="D10" s="7">
        <v>496.23986135738829</v>
      </c>
    </row>
    <row r="11" spans="1:12" x14ac:dyDescent="0.25">
      <c r="A11" s="3">
        <v>10</v>
      </c>
      <c r="B11" s="3">
        <v>-45</v>
      </c>
      <c r="C11" s="3">
        <v>-887.25</v>
      </c>
      <c r="D11" s="7">
        <v>514.81179813597896</v>
      </c>
    </row>
    <row r="12" spans="1:12" x14ac:dyDescent="0.25">
      <c r="A12" s="3">
        <v>11</v>
      </c>
      <c r="B12" s="3">
        <v>-45</v>
      </c>
      <c r="C12" s="3">
        <v>-804.5</v>
      </c>
      <c r="D12" s="7">
        <v>519.74729436525206</v>
      </c>
    </row>
    <row r="13" spans="1:12" x14ac:dyDescent="0.25">
      <c r="A13" s="3">
        <v>12</v>
      </c>
      <c r="B13" s="3">
        <v>-30</v>
      </c>
      <c r="C13" s="3">
        <v>-647.5</v>
      </c>
      <c r="D13" s="7">
        <v>591.24762155969813</v>
      </c>
    </row>
    <row r="14" spans="1:12" x14ac:dyDescent="0.25">
      <c r="A14" s="3">
        <v>13</v>
      </c>
      <c r="B14" s="3">
        <v>-30</v>
      </c>
      <c r="C14" s="3">
        <v>-835</v>
      </c>
      <c r="D14" s="7">
        <v>447.38685720526041</v>
      </c>
    </row>
    <row r="15" spans="1:12" x14ac:dyDescent="0.25">
      <c r="A15" s="3">
        <v>14</v>
      </c>
      <c r="B15" s="3">
        <v>-30</v>
      </c>
      <c r="C15" s="3">
        <v>-691.75</v>
      </c>
      <c r="D15" s="7">
        <v>443.31217837997639</v>
      </c>
    </row>
    <row r="16" spans="1:12" x14ac:dyDescent="0.25">
      <c r="A16" s="3">
        <v>15</v>
      </c>
      <c r="B16" s="3">
        <v>-30</v>
      </c>
      <c r="C16" s="3">
        <v>-959.5</v>
      </c>
      <c r="D16" s="7">
        <v>491.03182177940357</v>
      </c>
    </row>
    <row r="17" spans="1:4" x14ac:dyDescent="0.25">
      <c r="A17" s="3">
        <v>16</v>
      </c>
      <c r="B17" s="3">
        <v>-30</v>
      </c>
      <c r="C17" s="3">
        <v>-974.5</v>
      </c>
      <c r="D17" s="7">
        <v>428.77412468571367</v>
      </c>
    </row>
    <row r="18" spans="1:4" x14ac:dyDescent="0.25">
      <c r="A18" s="3">
        <v>17</v>
      </c>
      <c r="B18" s="3">
        <v>-30</v>
      </c>
      <c r="C18" s="3">
        <v>-911.75</v>
      </c>
      <c r="D18" s="7">
        <v>397.07453645379979</v>
      </c>
    </row>
    <row r="19" spans="1:4" x14ac:dyDescent="0.25">
      <c r="A19" s="3">
        <v>18</v>
      </c>
      <c r="B19" s="3">
        <v>-30</v>
      </c>
      <c r="C19" s="3">
        <v>-860</v>
      </c>
      <c r="D19" s="7">
        <v>420.41051366491769</v>
      </c>
    </row>
    <row r="20" spans="1:4" x14ac:dyDescent="0.25">
      <c r="A20" s="3">
        <v>19</v>
      </c>
      <c r="B20" s="3">
        <v>25</v>
      </c>
      <c r="C20" s="3">
        <v>-757.75</v>
      </c>
      <c r="D20" s="7">
        <v>557.49545962276682</v>
      </c>
    </row>
    <row r="21" spans="1:4" x14ac:dyDescent="0.25">
      <c r="A21" s="3">
        <v>20</v>
      </c>
      <c r="B21" s="3">
        <v>25</v>
      </c>
      <c r="C21" s="3">
        <v>-887</v>
      </c>
      <c r="D21" s="7">
        <v>443.46194876223598</v>
      </c>
    </row>
    <row r="22" spans="1:4" x14ac:dyDescent="0.25">
      <c r="A22" s="3">
        <v>21</v>
      </c>
      <c r="B22" s="3">
        <v>-30</v>
      </c>
      <c r="C22" s="3">
        <v>-936.25</v>
      </c>
      <c r="D22" s="7">
        <v>433.80547195718958</v>
      </c>
    </row>
    <row r="23" spans="1:4" x14ac:dyDescent="0.25">
      <c r="A23" s="3">
        <v>22</v>
      </c>
      <c r="B23" s="3">
        <v>-30</v>
      </c>
      <c r="C23" s="3">
        <v>-1033.25</v>
      </c>
      <c r="D23" s="7">
        <v>526.16127518090877</v>
      </c>
    </row>
    <row r="24" spans="1:4" x14ac:dyDescent="0.25">
      <c r="A24" s="3">
        <v>23</v>
      </c>
      <c r="B24" s="3">
        <v>-30</v>
      </c>
      <c r="C24" s="3">
        <v>-957</v>
      </c>
      <c r="D24" s="7">
        <v>393.58099547615348</v>
      </c>
    </row>
    <row r="25" spans="1:4" x14ac:dyDescent="0.25">
      <c r="A25" s="3">
        <v>24</v>
      </c>
      <c r="B25" s="3">
        <v>-30</v>
      </c>
      <c r="C25" s="3">
        <v>-986.5</v>
      </c>
      <c r="D25" s="7">
        <v>473.77499934040418</v>
      </c>
    </row>
    <row r="26" spans="1:4" x14ac:dyDescent="0.25">
      <c r="A26" s="3">
        <v>25</v>
      </c>
      <c r="B26" s="3">
        <v>0</v>
      </c>
      <c r="C26" s="3">
        <v>-638.25</v>
      </c>
      <c r="D26" s="7">
        <v>464.31744259719562</v>
      </c>
    </row>
    <row r="27" spans="1:4" x14ac:dyDescent="0.25">
      <c r="A27" s="3">
        <v>26</v>
      </c>
      <c r="B27" s="3">
        <v>0</v>
      </c>
      <c r="C27" s="3">
        <v>-841.75</v>
      </c>
      <c r="D27" s="7">
        <v>461.78803308444452</v>
      </c>
    </row>
    <row r="28" spans="1:4" x14ac:dyDescent="0.25">
      <c r="A28" s="3">
        <v>27</v>
      </c>
      <c r="B28" s="3">
        <v>180</v>
      </c>
      <c r="C28" s="3">
        <v>-624.75</v>
      </c>
      <c r="D28" s="7">
        <v>549.54407239092302</v>
      </c>
    </row>
    <row r="29" spans="1:4" x14ac:dyDescent="0.25">
      <c r="A29" s="3">
        <v>28</v>
      </c>
      <c r="B29" s="3">
        <v>180</v>
      </c>
      <c r="C29" s="3">
        <v>-677</v>
      </c>
      <c r="D29" s="7">
        <v>495.97227745106881</v>
      </c>
    </row>
    <row r="30" spans="1:4" x14ac:dyDescent="0.25">
      <c r="A30" s="3">
        <v>29</v>
      </c>
      <c r="B30" s="3">
        <v>180</v>
      </c>
      <c r="C30" s="3">
        <v>-642.25</v>
      </c>
      <c r="D30" s="7">
        <v>526.79567908250726</v>
      </c>
    </row>
    <row r="31" spans="1:4" x14ac:dyDescent="0.25">
      <c r="A31" s="3">
        <v>30</v>
      </c>
      <c r="B31" s="3">
        <v>180</v>
      </c>
      <c r="C31" s="3">
        <v>-784.25</v>
      </c>
      <c r="D31" s="7">
        <v>481.81499302118033</v>
      </c>
    </row>
    <row r="32" spans="1:4" x14ac:dyDescent="0.25">
      <c r="A32" s="3">
        <v>31</v>
      </c>
      <c r="B32" s="3">
        <v>180</v>
      </c>
      <c r="C32" s="3">
        <v>-731.5</v>
      </c>
      <c r="D32" s="7">
        <v>526.72597239931122</v>
      </c>
    </row>
    <row r="33" spans="1:4" x14ac:dyDescent="0.25">
      <c r="A33" s="3">
        <v>32</v>
      </c>
      <c r="B33" s="3">
        <v>180</v>
      </c>
      <c r="C33" s="3">
        <v>-703.75</v>
      </c>
      <c r="D33" s="7">
        <v>453.08629145009451</v>
      </c>
    </row>
    <row r="34" spans="1:4" x14ac:dyDescent="0.25">
      <c r="A34" s="3">
        <v>33</v>
      </c>
      <c r="B34" s="3">
        <v>180</v>
      </c>
      <c r="C34" s="3">
        <v>-825.75</v>
      </c>
      <c r="D34" s="7">
        <v>519.70490424855529</v>
      </c>
    </row>
    <row r="35" spans="1:4" x14ac:dyDescent="0.25">
      <c r="A35" s="3">
        <v>34</v>
      </c>
      <c r="B35" s="3">
        <v>180</v>
      </c>
      <c r="C35" s="3">
        <v>-592</v>
      </c>
      <c r="D35" s="7">
        <v>511.0073384991648</v>
      </c>
    </row>
    <row r="36" spans="1:4" x14ac:dyDescent="0.25">
      <c r="A36" s="3">
        <v>35</v>
      </c>
      <c r="B36" s="3">
        <v>180</v>
      </c>
      <c r="C36" s="3">
        <v>-848.5</v>
      </c>
      <c r="D36" s="7">
        <v>544.72952003723833</v>
      </c>
    </row>
    <row r="37" spans="1:4" x14ac:dyDescent="0.25">
      <c r="A37" s="3">
        <v>36</v>
      </c>
      <c r="B37" s="3">
        <v>180</v>
      </c>
      <c r="C37" s="3">
        <v>-831</v>
      </c>
      <c r="D37" s="7">
        <v>471.66089513547757</v>
      </c>
    </row>
    <row r="38" spans="1:4" x14ac:dyDescent="0.25">
      <c r="A38" s="3">
        <v>37</v>
      </c>
      <c r="B38" s="3">
        <v>180</v>
      </c>
      <c r="C38" s="3">
        <v>-792.5</v>
      </c>
      <c r="D38" s="7">
        <v>572.42794306357894</v>
      </c>
    </row>
    <row r="39" spans="1:4" x14ac:dyDescent="0.25">
      <c r="A39" s="3">
        <v>38</v>
      </c>
      <c r="B39" s="3">
        <v>195</v>
      </c>
      <c r="C39" s="3">
        <v>-641</v>
      </c>
      <c r="D39" s="7">
        <v>586.92120425147357</v>
      </c>
    </row>
    <row r="40" spans="1:4" x14ac:dyDescent="0.25">
      <c r="A40" s="3">
        <v>39</v>
      </c>
      <c r="B40" s="3">
        <v>180</v>
      </c>
      <c r="C40" s="3">
        <v>-731.5</v>
      </c>
      <c r="D40" s="7">
        <v>518.55110644949934</v>
      </c>
    </row>
    <row r="41" spans="1:4" x14ac:dyDescent="0.25">
      <c r="A41" s="3">
        <v>40</v>
      </c>
      <c r="B41" s="3">
        <v>180</v>
      </c>
      <c r="C41" s="3">
        <v>-886</v>
      </c>
      <c r="D41" s="7">
        <v>508.67130841045082</v>
      </c>
    </row>
    <row r="42" spans="1:4" x14ac:dyDescent="0.25">
      <c r="A42" s="3">
        <v>41</v>
      </c>
      <c r="B42" s="3">
        <v>180</v>
      </c>
      <c r="C42" s="3">
        <v>-864</v>
      </c>
      <c r="D42" s="7">
        <v>553.87633998935178</v>
      </c>
    </row>
    <row r="43" spans="1:4" x14ac:dyDescent="0.25">
      <c r="A43" s="3">
        <v>42</v>
      </c>
      <c r="B43" s="3">
        <v>180</v>
      </c>
      <c r="C43" s="3">
        <v>-799</v>
      </c>
      <c r="D43" s="7">
        <v>482.94047252223538</v>
      </c>
    </row>
    <row r="44" spans="1:4" x14ac:dyDescent="0.25">
      <c r="A44" s="3">
        <v>43</v>
      </c>
      <c r="B44" s="3">
        <v>435</v>
      </c>
      <c r="C44" s="3">
        <v>-890.5</v>
      </c>
      <c r="D44" s="7">
        <v>696.91444955604129</v>
      </c>
    </row>
    <row r="45" spans="1:4" x14ac:dyDescent="0.25">
      <c r="A45" s="3">
        <v>44</v>
      </c>
      <c r="B45" s="3">
        <v>435</v>
      </c>
      <c r="C45" s="3">
        <v>-716.25</v>
      </c>
      <c r="D45" s="7">
        <v>661.95897720327048</v>
      </c>
    </row>
    <row r="46" spans="1:4" x14ac:dyDescent="0.25">
      <c r="A46" s="3">
        <v>45</v>
      </c>
      <c r="B46" s="3">
        <v>435</v>
      </c>
      <c r="C46" s="3">
        <v>-654.5</v>
      </c>
      <c r="D46" s="7">
        <v>504.18473796813811</v>
      </c>
    </row>
    <row r="47" spans="1:4" x14ac:dyDescent="0.25">
      <c r="A47" s="3">
        <v>46</v>
      </c>
      <c r="B47" s="3">
        <v>530</v>
      </c>
      <c r="C47" s="3">
        <v>-435</v>
      </c>
      <c r="D47" s="7">
        <v>660.63794925813943</v>
      </c>
    </row>
    <row r="48" spans="1:4" x14ac:dyDescent="0.25">
      <c r="A48" s="3">
        <v>47</v>
      </c>
      <c r="B48" s="3">
        <v>530</v>
      </c>
      <c r="C48" s="3">
        <v>-863.75</v>
      </c>
      <c r="D48" s="7">
        <v>684.63836256815171</v>
      </c>
    </row>
    <row r="49" spans="1:4" x14ac:dyDescent="0.25">
      <c r="A49" s="3">
        <v>48</v>
      </c>
      <c r="B49" s="3">
        <v>530</v>
      </c>
      <c r="C49" s="3">
        <v>-848.5</v>
      </c>
      <c r="D49" s="7">
        <v>704.63660847276446</v>
      </c>
    </row>
    <row r="50" spans="1:4" x14ac:dyDescent="0.25">
      <c r="A50" s="3">
        <v>49</v>
      </c>
      <c r="B50" s="3">
        <v>530</v>
      </c>
      <c r="C50" s="3">
        <v>-822.25</v>
      </c>
      <c r="D50" s="7">
        <v>770.47140602361094</v>
      </c>
    </row>
    <row r="51" spans="1:4" x14ac:dyDescent="0.25">
      <c r="A51" s="4">
        <v>50</v>
      </c>
      <c r="B51" s="4">
        <v>530</v>
      </c>
      <c r="C51" s="4">
        <v>-682.75</v>
      </c>
      <c r="D51" s="8">
        <v>551.76869021357129</v>
      </c>
    </row>
  </sheetData>
  <mergeCells count="1">
    <mergeCell ref="F1:L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1"/>
  <sheetViews>
    <sheetView topLeftCell="A26" workbookViewId="0">
      <selection activeCell="F1" sqref="F1:L1"/>
    </sheetView>
  </sheetViews>
  <sheetFormatPr baseColWidth="10" defaultColWidth="9.140625" defaultRowHeight="15" x14ac:dyDescent="0.25"/>
  <cols>
    <col min="1" max="2" width="19.85546875" customWidth="1"/>
    <col min="3" max="3" width="18" customWidth="1"/>
    <col min="4" max="4" width="19.85546875" customWidth="1"/>
  </cols>
  <sheetData>
    <row r="1" spans="1:12" ht="42" x14ac:dyDescent="0.25">
      <c r="A1" s="11" t="s">
        <v>0</v>
      </c>
      <c r="B1" s="11" t="s">
        <v>2</v>
      </c>
      <c r="C1" s="11" t="s">
        <v>1</v>
      </c>
      <c r="D1" s="11" t="s">
        <v>3</v>
      </c>
      <c r="F1" s="14" t="s">
        <v>10</v>
      </c>
      <c r="G1" s="15"/>
      <c r="H1" s="15"/>
      <c r="I1" s="15"/>
      <c r="J1" s="15"/>
      <c r="K1" s="15"/>
      <c r="L1" s="15"/>
    </row>
    <row r="2" spans="1:12" x14ac:dyDescent="0.25">
      <c r="A2" s="5">
        <v>1</v>
      </c>
      <c r="B2" s="5">
        <v>-810</v>
      </c>
      <c r="C2" s="5">
        <v>-1364.75</v>
      </c>
      <c r="D2" s="6">
        <v>333.41593768144918</v>
      </c>
    </row>
    <row r="3" spans="1:12" x14ac:dyDescent="0.25">
      <c r="A3" s="3">
        <v>2</v>
      </c>
      <c r="B3" s="3">
        <v>-760</v>
      </c>
      <c r="C3" s="3">
        <v>-1286.5</v>
      </c>
      <c r="D3" s="7">
        <v>328.78602464216749</v>
      </c>
    </row>
    <row r="4" spans="1:12" x14ac:dyDescent="0.25">
      <c r="A4" s="3">
        <v>3</v>
      </c>
      <c r="B4" s="3">
        <v>-760</v>
      </c>
      <c r="C4" s="3">
        <v>-1423.75</v>
      </c>
      <c r="D4" s="7">
        <v>401.85468455649487</v>
      </c>
    </row>
    <row r="5" spans="1:12" x14ac:dyDescent="0.25">
      <c r="A5" s="3">
        <v>4</v>
      </c>
      <c r="B5" s="3">
        <v>-670</v>
      </c>
      <c r="C5" s="3">
        <v>-1242</v>
      </c>
      <c r="D5" s="7">
        <v>364.61075134998418</v>
      </c>
    </row>
    <row r="6" spans="1:12" x14ac:dyDescent="0.25">
      <c r="A6" s="3">
        <v>5</v>
      </c>
      <c r="B6" s="3">
        <v>105</v>
      </c>
      <c r="C6" s="3">
        <v>-1216</v>
      </c>
      <c r="D6" s="7">
        <v>498.58449634941519</v>
      </c>
    </row>
    <row r="7" spans="1:12" x14ac:dyDescent="0.25">
      <c r="A7" s="3">
        <v>6</v>
      </c>
      <c r="B7" s="3">
        <v>-535</v>
      </c>
      <c r="C7" s="3">
        <v>-1146.25</v>
      </c>
      <c r="D7" s="7">
        <v>362.86662494641189</v>
      </c>
    </row>
    <row r="8" spans="1:12" x14ac:dyDescent="0.25">
      <c r="A8" s="3">
        <v>7</v>
      </c>
      <c r="B8" s="3">
        <v>-535</v>
      </c>
      <c r="C8" s="3">
        <v>-1385.75</v>
      </c>
      <c r="D8" s="7">
        <v>386.85357372008338</v>
      </c>
    </row>
    <row r="9" spans="1:12" x14ac:dyDescent="0.25">
      <c r="A9" s="3">
        <v>8</v>
      </c>
      <c r="B9" s="3">
        <v>-535</v>
      </c>
      <c r="C9" s="3">
        <v>-1351</v>
      </c>
      <c r="D9" s="7">
        <v>356.13410395523761</v>
      </c>
    </row>
    <row r="10" spans="1:12" x14ac:dyDescent="0.25">
      <c r="A10" s="3">
        <v>9</v>
      </c>
      <c r="B10" s="3">
        <v>-535</v>
      </c>
      <c r="C10" s="3">
        <v>-1312.5</v>
      </c>
      <c r="D10" s="7">
        <v>396.35684679339153</v>
      </c>
    </row>
    <row r="11" spans="1:12" x14ac:dyDescent="0.25">
      <c r="A11" s="3">
        <v>10</v>
      </c>
      <c r="B11" s="3">
        <v>-515</v>
      </c>
      <c r="C11" s="3">
        <v>-1279.75</v>
      </c>
      <c r="D11" s="7">
        <v>478.34473708822168</v>
      </c>
    </row>
    <row r="12" spans="1:12" x14ac:dyDescent="0.25">
      <c r="A12" s="3">
        <v>11</v>
      </c>
      <c r="B12" s="3">
        <v>-515</v>
      </c>
      <c r="C12" s="3">
        <v>-1195.5</v>
      </c>
      <c r="D12" s="7">
        <v>386.1246560373994</v>
      </c>
    </row>
    <row r="13" spans="1:12" x14ac:dyDescent="0.25">
      <c r="A13" s="3">
        <v>12</v>
      </c>
      <c r="B13" s="3">
        <v>-535</v>
      </c>
      <c r="C13" s="3">
        <v>-1208</v>
      </c>
      <c r="D13" s="7">
        <v>349.19335617963873</v>
      </c>
    </row>
    <row r="14" spans="1:12" x14ac:dyDescent="0.25">
      <c r="A14" s="3">
        <v>13</v>
      </c>
      <c r="B14" s="3">
        <v>-535</v>
      </c>
      <c r="C14" s="3">
        <v>-1249.5</v>
      </c>
      <c r="D14" s="7">
        <v>421.02523677328418</v>
      </c>
    </row>
    <row r="15" spans="1:12" x14ac:dyDescent="0.25">
      <c r="A15" s="3">
        <v>14</v>
      </c>
      <c r="B15" s="3">
        <v>-525</v>
      </c>
      <c r="C15" s="3">
        <v>-1427.5</v>
      </c>
      <c r="D15" s="7">
        <v>431.80290642838429</v>
      </c>
    </row>
    <row r="16" spans="1:12" x14ac:dyDescent="0.25">
      <c r="A16" s="3">
        <v>15</v>
      </c>
      <c r="B16" s="3">
        <v>-525</v>
      </c>
      <c r="C16" s="3">
        <v>-1358</v>
      </c>
      <c r="D16" s="7">
        <v>423.42472766714991</v>
      </c>
    </row>
    <row r="17" spans="1:4" x14ac:dyDescent="0.25">
      <c r="A17" s="3">
        <v>16</v>
      </c>
      <c r="B17" s="3">
        <v>-525</v>
      </c>
      <c r="C17" s="3">
        <v>-1372</v>
      </c>
      <c r="D17" s="7">
        <v>380.95406547246608</v>
      </c>
    </row>
    <row r="18" spans="1:4" x14ac:dyDescent="0.25">
      <c r="A18" s="3">
        <v>17</v>
      </c>
      <c r="B18" s="3">
        <v>-525</v>
      </c>
      <c r="C18" s="3">
        <v>-1299.25</v>
      </c>
      <c r="D18" s="7">
        <v>369.21631532206158</v>
      </c>
    </row>
    <row r="19" spans="1:4" x14ac:dyDescent="0.25">
      <c r="A19" s="3">
        <v>18</v>
      </c>
      <c r="B19" s="3">
        <v>-525</v>
      </c>
      <c r="C19" s="3">
        <v>-1276</v>
      </c>
      <c r="D19" s="7">
        <v>417.85045171687921</v>
      </c>
    </row>
    <row r="20" spans="1:4" x14ac:dyDescent="0.25">
      <c r="A20" s="3">
        <v>19</v>
      </c>
      <c r="B20" s="3">
        <v>-525</v>
      </c>
      <c r="C20" s="3">
        <v>-1301</v>
      </c>
      <c r="D20" s="7">
        <v>414.0247577138353</v>
      </c>
    </row>
    <row r="21" spans="1:4" x14ac:dyDescent="0.25">
      <c r="A21" s="3">
        <v>20</v>
      </c>
      <c r="B21" s="3">
        <v>-525</v>
      </c>
      <c r="C21" s="3">
        <v>-1398.25</v>
      </c>
      <c r="D21" s="7">
        <v>326.80756952677831</v>
      </c>
    </row>
    <row r="22" spans="1:4" x14ac:dyDescent="0.25">
      <c r="A22" s="3">
        <v>21</v>
      </c>
      <c r="B22" s="3">
        <v>-355</v>
      </c>
      <c r="C22" s="3">
        <v>-1272</v>
      </c>
      <c r="D22" s="7">
        <v>443.73246444225828</v>
      </c>
    </row>
    <row r="23" spans="1:4" x14ac:dyDescent="0.25">
      <c r="A23" s="3">
        <v>22</v>
      </c>
      <c r="B23" s="3">
        <v>-355</v>
      </c>
      <c r="C23" s="3">
        <v>-1222.75</v>
      </c>
      <c r="D23" s="7">
        <v>496.29747883703777</v>
      </c>
    </row>
    <row r="24" spans="1:4" x14ac:dyDescent="0.25">
      <c r="A24" s="3">
        <v>23</v>
      </c>
      <c r="B24" s="3">
        <v>-355</v>
      </c>
      <c r="C24" s="3">
        <v>-1210</v>
      </c>
      <c r="D24" s="7">
        <v>479.40327491580621</v>
      </c>
    </row>
    <row r="25" spans="1:4" x14ac:dyDescent="0.25">
      <c r="A25" s="3">
        <v>24</v>
      </c>
      <c r="B25" s="3">
        <v>-355</v>
      </c>
      <c r="C25" s="3">
        <v>-1222.75</v>
      </c>
      <c r="D25" s="7">
        <v>499.71110403912382</v>
      </c>
    </row>
    <row r="26" spans="1:4" x14ac:dyDescent="0.25">
      <c r="A26" s="3">
        <v>25</v>
      </c>
      <c r="B26" s="3">
        <v>-355</v>
      </c>
      <c r="C26" s="3">
        <v>-1365</v>
      </c>
      <c r="D26" s="7">
        <v>408.99877750428539</v>
      </c>
    </row>
    <row r="27" spans="1:4" x14ac:dyDescent="0.25">
      <c r="A27" s="3">
        <v>26</v>
      </c>
      <c r="B27" s="3">
        <v>-160</v>
      </c>
      <c r="C27" s="3">
        <v>-1222</v>
      </c>
      <c r="D27" s="7">
        <v>517.55048062966762</v>
      </c>
    </row>
    <row r="28" spans="1:4" x14ac:dyDescent="0.25">
      <c r="A28" s="3">
        <v>27</v>
      </c>
      <c r="B28" s="3">
        <v>-160</v>
      </c>
      <c r="C28" s="3">
        <v>-1091.25</v>
      </c>
      <c r="D28" s="7">
        <v>514.2005323801211</v>
      </c>
    </row>
    <row r="29" spans="1:4" x14ac:dyDescent="0.25">
      <c r="A29" s="3">
        <v>28</v>
      </c>
      <c r="B29" s="3">
        <v>-160</v>
      </c>
      <c r="C29" s="3">
        <v>-1085.25</v>
      </c>
      <c r="D29" s="7">
        <v>481.18986637293182</v>
      </c>
    </row>
    <row r="30" spans="1:4" x14ac:dyDescent="0.25">
      <c r="A30" s="3">
        <v>29</v>
      </c>
      <c r="B30" s="3">
        <v>-160</v>
      </c>
      <c r="C30" s="3">
        <v>-1322</v>
      </c>
      <c r="D30" s="7">
        <v>494.25297166532039</v>
      </c>
    </row>
    <row r="31" spans="1:4" x14ac:dyDescent="0.25">
      <c r="A31" s="3">
        <v>30</v>
      </c>
      <c r="B31" s="3">
        <v>-160</v>
      </c>
      <c r="C31" s="3">
        <v>-1194.75</v>
      </c>
      <c r="D31" s="7">
        <v>496.29244151004349</v>
      </c>
    </row>
    <row r="32" spans="1:4" x14ac:dyDescent="0.25">
      <c r="A32" s="3">
        <v>31</v>
      </c>
      <c r="B32" s="3">
        <v>-160</v>
      </c>
      <c r="C32" s="3">
        <v>-1125.25</v>
      </c>
      <c r="D32" s="7">
        <v>544.12883354955557</v>
      </c>
    </row>
    <row r="33" spans="1:4" x14ac:dyDescent="0.25">
      <c r="A33" s="3">
        <v>32</v>
      </c>
      <c r="B33" s="3">
        <v>-160</v>
      </c>
      <c r="C33" s="3">
        <v>-1044.75</v>
      </c>
      <c r="D33" s="7">
        <v>529.95866584102578</v>
      </c>
    </row>
    <row r="34" spans="1:4" x14ac:dyDescent="0.25">
      <c r="A34" s="3">
        <v>33</v>
      </c>
      <c r="B34" s="3">
        <v>-325</v>
      </c>
      <c r="C34" s="3">
        <v>-1163.5</v>
      </c>
      <c r="D34" s="7">
        <v>419.0319200251933</v>
      </c>
    </row>
    <row r="35" spans="1:4" x14ac:dyDescent="0.25">
      <c r="A35" s="3">
        <v>34</v>
      </c>
      <c r="B35" s="3">
        <v>-325</v>
      </c>
      <c r="C35" s="3">
        <v>-1053.25</v>
      </c>
      <c r="D35" s="7">
        <v>487.02226591809949</v>
      </c>
    </row>
    <row r="36" spans="1:4" x14ac:dyDescent="0.25">
      <c r="A36" s="3">
        <v>35</v>
      </c>
      <c r="B36" s="3">
        <v>-155</v>
      </c>
      <c r="C36" s="3">
        <v>-1033</v>
      </c>
      <c r="D36" s="7">
        <v>496.372843737447</v>
      </c>
    </row>
    <row r="37" spans="1:4" x14ac:dyDescent="0.25">
      <c r="A37" s="3">
        <v>36</v>
      </c>
      <c r="B37" s="3">
        <v>-155</v>
      </c>
      <c r="C37" s="3">
        <v>-993.25</v>
      </c>
      <c r="D37" s="7">
        <v>369.31448319826291</v>
      </c>
    </row>
    <row r="38" spans="1:4" x14ac:dyDescent="0.25">
      <c r="A38" s="3">
        <v>37</v>
      </c>
      <c r="B38" s="3">
        <v>-155</v>
      </c>
      <c r="C38" s="3">
        <v>-1064</v>
      </c>
      <c r="D38" s="7">
        <v>500.50874118240932</v>
      </c>
    </row>
    <row r="39" spans="1:4" x14ac:dyDescent="0.25">
      <c r="A39" s="3">
        <v>38</v>
      </c>
      <c r="B39" s="3">
        <v>-155</v>
      </c>
      <c r="C39" s="3">
        <v>-856.5</v>
      </c>
      <c r="D39" s="7">
        <v>390.58321776543352</v>
      </c>
    </row>
    <row r="40" spans="1:4" x14ac:dyDescent="0.25">
      <c r="A40" s="3">
        <v>39</v>
      </c>
      <c r="B40" s="3">
        <v>-155</v>
      </c>
      <c r="C40" s="3">
        <v>-877.75</v>
      </c>
      <c r="D40" s="7">
        <v>353.10577381289022</v>
      </c>
    </row>
    <row r="41" spans="1:4" x14ac:dyDescent="0.25">
      <c r="A41" s="3">
        <v>40</v>
      </c>
      <c r="B41" s="3">
        <v>-155</v>
      </c>
      <c r="C41" s="3">
        <v>-957.25</v>
      </c>
      <c r="D41" s="7">
        <v>405.52273364140763</v>
      </c>
    </row>
    <row r="42" spans="1:4" x14ac:dyDescent="0.25">
      <c r="A42" s="3">
        <v>41</v>
      </c>
      <c r="B42" s="3">
        <v>-155</v>
      </c>
      <c r="C42" s="3">
        <v>-993.25</v>
      </c>
      <c r="D42" s="7">
        <v>410.74102242167152</v>
      </c>
    </row>
    <row r="43" spans="1:4" x14ac:dyDescent="0.25">
      <c r="A43" s="3">
        <v>42</v>
      </c>
      <c r="B43" s="3">
        <v>-155</v>
      </c>
      <c r="C43" s="3">
        <v>-930.5</v>
      </c>
      <c r="D43" s="7">
        <v>457.41092028940449</v>
      </c>
    </row>
    <row r="44" spans="1:4" x14ac:dyDescent="0.25">
      <c r="A44" s="3">
        <v>43</v>
      </c>
      <c r="B44" s="3">
        <v>-155</v>
      </c>
      <c r="C44" s="3">
        <v>-995.5</v>
      </c>
      <c r="D44" s="7">
        <v>458.57087783678543</v>
      </c>
    </row>
    <row r="45" spans="1:4" x14ac:dyDescent="0.25">
      <c r="A45" s="3">
        <v>44</v>
      </c>
      <c r="B45" s="3">
        <v>-145</v>
      </c>
      <c r="C45" s="3">
        <v>-797</v>
      </c>
      <c r="D45" s="7">
        <v>515.95881618594331</v>
      </c>
    </row>
    <row r="46" spans="1:4" x14ac:dyDescent="0.25">
      <c r="A46" s="3">
        <v>45</v>
      </c>
      <c r="B46" s="3">
        <v>-145</v>
      </c>
      <c r="C46" s="3">
        <v>-956.75</v>
      </c>
      <c r="D46" s="7">
        <v>412.19011087118531</v>
      </c>
    </row>
    <row r="47" spans="1:4" x14ac:dyDescent="0.25">
      <c r="A47" s="3">
        <v>46</v>
      </c>
      <c r="B47" s="3">
        <v>-60</v>
      </c>
      <c r="C47" s="3">
        <v>-789.5</v>
      </c>
      <c r="D47" s="7">
        <v>514.25164073632277</v>
      </c>
    </row>
    <row r="48" spans="1:4" x14ac:dyDescent="0.25">
      <c r="A48" s="3">
        <v>47</v>
      </c>
      <c r="B48" s="3">
        <v>120</v>
      </c>
      <c r="C48" s="3">
        <v>-852.25</v>
      </c>
      <c r="D48" s="7">
        <v>523.66132900950402</v>
      </c>
    </row>
    <row r="49" spans="1:4" x14ac:dyDescent="0.25">
      <c r="A49" s="3">
        <v>48</v>
      </c>
      <c r="B49" s="3">
        <v>120</v>
      </c>
      <c r="C49" s="3">
        <v>-826.5</v>
      </c>
      <c r="D49" s="7">
        <v>488.30856023625063</v>
      </c>
    </row>
    <row r="50" spans="1:4" x14ac:dyDescent="0.25">
      <c r="A50" s="3">
        <v>49</v>
      </c>
      <c r="B50" s="3">
        <v>120</v>
      </c>
      <c r="C50" s="3">
        <v>-842.75</v>
      </c>
      <c r="D50" s="7">
        <v>583.88884858335837</v>
      </c>
    </row>
    <row r="51" spans="1:4" x14ac:dyDescent="0.25">
      <c r="A51" s="4">
        <v>50</v>
      </c>
      <c r="B51" s="4">
        <v>120</v>
      </c>
      <c r="C51" s="4">
        <v>-860.75</v>
      </c>
      <c r="D51" s="8">
        <v>565.66393512402749</v>
      </c>
    </row>
  </sheetData>
  <mergeCells count="1">
    <mergeCell ref="F1:L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1"/>
  <sheetViews>
    <sheetView topLeftCell="A26" workbookViewId="0">
      <selection activeCell="F2" sqref="F2"/>
    </sheetView>
  </sheetViews>
  <sheetFormatPr baseColWidth="10" defaultColWidth="9.140625" defaultRowHeight="15" x14ac:dyDescent="0.25"/>
  <cols>
    <col min="1" max="4" width="19.28515625" customWidth="1"/>
  </cols>
  <sheetData>
    <row r="1" spans="1:12" ht="42" x14ac:dyDescent="0.25">
      <c r="A1" s="11" t="s">
        <v>0</v>
      </c>
      <c r="B1" s="11" t="s">
        <v>2</v>
      </c>
      <c r="C1" s="11" t="s">
        <v>1</v>
      </c>
      <c r="D1" s="11" t="s">
        <v>3</v>
      </c>
      <c r="F1" s="14" t="s">
        <v>11</v>
      </c>
      <c r="G1" s="15"/>
      <c r="H1" s="15"/>
      <c r="I1" s="15"/>
      <c r="J1" s="15"/>
      <c r="K1" s="15"/>
      <c r="L1" s="15"/>
    </row>
    <row r="2" spans="1:12" x14ac:dyDescent="0.25">
      <c r="A2" s="5">
        <v>1</v>
      </c>
      <c r="B2" s="5">
        <v>-490</v>
      </c>
      <c r="C2" s="5">
        <v>-1222.25</v>
      </c>
      <c r="D2" s="6">
        <v>449.13660227151382</v>
      </c>
    </row>
    <row r="3" spans="1:12" x14ac:dyDescent="0.25">
      <c r="A3" s="3">
        <v>2</v>
      </c>
      <c r="B3" s="3">
        <v>-25</v>
      </c>
      <c r="C3" s="3">
        <v>-950</v>
      </c>
      <c r="D3" s="7">
        <v>392.35188288066109</v>
      </c>
    </row>
    <row r="4" spans="1:12" x14ac:dyDescent="0.25">
      <c r="A4" s="3">
        <v>3</v>
      </c>
      <c r="B4" s="3">
        <v>-25</v>
      </c>
      <c r="C4" s="3">
        <v>-1015.5</v>
      </c>
      <c r="D4" s="7">
        <v>534.75672038787877</v>
      </c>
    </row>
    <row r="5" spans="1:12" x14ac:dyDescent="0.25">
      <c r="A5" s="3">
        <v>4</v>
      </c>
      <c r="B5" s="3">
        <v>105</v>
      </c>
      <c r="C5" s="3">
        <v>-1108</v>
      </c>
      <c r="D5" s="7">
        <v>628.3935868546082</v>
      </c>
    </row>
    <row r="6" spans="1:12" x14ac:dyDescent="0.25">
      <c r="A6" s="3">
        <v>5</v>
      </c>
      <c r="B6" s="3">
        <v>390</v>
      </c>
      <c r="C6" s="3">
        <v>-749.75</v>
      </c>
      <c r="D6" s="7">
        <v>509.3438794174325</v>
      </c>
    </row>
    <row r="7" spans="1:12" x14ac:dyDescent="0.25">
      <c r="A7" s="3">
        <v>6</v>
      </c>
      <c r="B7" s="3">
        <v>390</v>
      </c>
      <c r="C7" s="3">
        <v>-764.75</v>
      </c>
      <c r="D7" s="7">
        <v>564.04005841783965</v>
      </c>
    </row>
    <row r="8" spans="1:12" x14ac:dyDescent="0.25">
      <c r="A8" s="3">
        <v>7</v>
      </c>
      <c r="B8" s="3">
        <v>390</v>
      </c>
      <c r="C8" s="3">
        <v>-806.25</v>
      </c>
      <c r="D8" s="7">
        <v>516.42248934375425</v>
      </c>
    </row>
    <row r="9" spans="1:12" x14ac:dyDescent="0.25">
      <c r="A9" s="3">
        <v>8</v>
      </c>
      <c r="B9" s="3">
        <v>390</v>
      </c>
      <c r="C9" s="3">
        <v>-527.75</v>
      </c>
      <c r="D9" s="7">
        <v>617.22863470516336</v>
      </c>
    </row>
    <row r="10" spans="1:12" x14ac:dyDescent="0.25">
      <c r="A10" s="3">
        <v>9</v>
      </c>
      <c r="B10" s="3">
        <v>390</v>
      </c>
      <c r="C10" s="3">
        <v>-683.75</v>
      </c>
      <c r="D10" s="7">
        <v>571.84979452649975</v>
      </c>
    </row>
    <row r="11" spans="1:12" x14ac:dyDescent="0.25">
      <c r="A11" s="3">
        <v>10</v>
      </c>
      <c r="B11" s="3">
        <v>390</v>
      </c>
      <c r="C11" s="3">
        <v>-759.5</v>
      </c>
      <c r="D11" s="7">
        <v>621.64881565076598</v>
      </c>
    </row>
    <row r="12" spans="1:12" x14ac:dyDescent="0.25">
      <c r="A12" s="3">
        <v>11</v>
      </c>
      <c r="B12" s="3">
        <v>390</v>
      </c>
      <c r="C12" s="3">
        <v>-552</v>
      </c>
      <c r="D12" s="7">
        <v>452.64610900790922</v>
      </c>
    </row>
    <row r="13" spans="1:12" x14ac:dyDescent="0.25">
      <c r="A13" s="3">
        <v>12</v>
      </c>
      <c r="B13" s="3">
        <v>390</v>
      </c>
      <c r="C13" s="3">
        <v>-681.5</v>
      </c>
      <c r="D13" s="7">
        <v>566.25546354980099</v>
      </c>
    </row>
    <row r="14" spans="1:12" x14ac:dyDescent="0.25">
      <c r="A14" s="3">
        <v>13</v>
      </c>
      <c r="B14" s="3">
        <v>390</v>
      </c>
      <c r="C14" s="3">
        <v>-847.75</v>
      </c>
      <c r="D14" s="7">
        <v>544.9552160499062</v>
      </c>
    </row>
    <row r="15" spans="1:12" x14ac:dyDescent="0.25">
      <c r="A15" s="3">
        <v>14</v>
      </c>
      <c r="B15" s="3">
        <v>390</v>
      </c>
      <c r="C15" s="3">
        <v>-745.5</v>
      </c>
      <c r="D15" s="7">
        <v>588.7059962324148</v>
      </c>
    </row>
    <row r="16" spans="1:12" x14ac:dyDescent="0.25">
      <c r="A16" s="3">
        <v>15</v>
      </c>
      <c r="B16" s="3">
        <v>390</v>
      </c>
      <c r="C16" s="3">
        <v>-797</v>
      </c>
      <c r="D16" s="7">
        <v>476.91298996777181</v>
      </c>
    </row>
    <row r="17" spans="1:4" x14ac:dyDescent="0.25">
      <c r="A17" s="3">
        <v>16</v>
      </c>
      <c r="B17" s="3">
        <v>390</v>
      </c>
      <c r="C17" s="3">
        <v>-665.5</v>
      </c>
      <c r="D17" s="7">
        <v>552.69544054569508</v>
      </c>
    </row>
    <row r="18" spans="1:4" x14ac:dyDescent="0.25">
      <c r="A18" s="3">
        <v>17</v>
      </c>
      <c r="B18" s="3">
        <v>390</v>
      </c>
      <c r="C18" s="3">
        <v>-726.5</v>
      </c>
      <c r="D18" s="7">
        <v>499.70266158986988</v>
      </c>
    </row>
    <row r="19" spans="1:4" x14ac:dyDescent="0.25">
      <c r="A19" s="3">
        <v>18</v>
      </c>
      <c r="B19" s="3">
        <v>390</v>
      </c>
      <c r="C19" s="3">
        <v>-679.75</v>
      </c>
      <c r="D19" s="7">
        <v>740.13761389352453</v>
      </c>
    </row>
    <row r="20" spans="1:4" x14ac:dyDescent="0.25">
      <c r="A20" s="3">
        <v>19</v>
      </c>
      <c r="B20" s="3">
        <v>390</v>
      </c>
      <c r="C20" s="3">
        <v>-740.75</v>
      </c>
      <c r="D20" s="7">
        <v>586.05519151356384</v>
      </c>
    </row>
    <row r="21" spans="1:4" x14ac:dyDescent="0.25">
      <c r="A21" s="3">
        <v>20</v>
      </c>
      <c r="B21" s="3">
        <v>390</v>
      </c>
      <c r="C21" s="3">
        <v>-729.5</v>
      </c>
      <c r="D21" s="7">
        <v>604.91920948172901</v>
      </c>
    </row>
    <row r="22" spans="1:4" x14ac:dyDescent="0.25">
      <c r="A22" s="3">
        <v>21</v>
      </c>
      <c r="B22" s="3">
        <v>390</v>
      </c>
      <c r="C22" s="3">
        <v>-696.5</v>
      </c>
      <c r="D22" s="7">
        <v>662.29732748970082</v>
      </c>
    </row>
    <row r="23" spans="1:4" x14ac:dyDescent="0.25">
      <c r="A23" s="3">
        <v>22</v>
      </c>
      <c r="B23" s="3">
        <v>390</v>
      </c>
      <c r="C23" s="3">
        <v>-887.25</v>
      </c>
      <c r="D23" s="7">
        <v>600.64023133652972</v>
      </c>
    </row>
    <row r="24" spans="1:4" x14ac:dyDescent="0.25">
      <c r="A24" s="3">
        <v>23</v>
      </c>
      <c r="B24" s="3">
        <v>390</v>
      </c>
      <c r="C24" s="3">
        <v>-847</v>
      </c>
      <c r="D24" s="7">
        <v>540.21153264253815</v>
      </c>
    </row>
    <row r="25" spans="1:4" x14ac:dyDescent="0.25">
      <c r="A25" s="3">
        <v>24</v>
      </c>
      <c r="B25" s="3">
        <v>390</v>
      </c>
      <c r="C25" s="3">
        <v>-727.75</v>
      </c>
      <c r="D25" s="7">
        <v>646.17233575881289</v>
      </c>
    </row>
    <row r="26" spans="1:4" x14ac:dyDescent="0.25">
      <c r="A26" s="3">
        <v>25</v>
      </c>
      <c r="B26" s="3">
        <v>390</v>
      </c>
      <c r="C26" s="3">
        <v>-651.75</v>
      </c>
      <c r="D26" s="7">
        <v>594.26903629585149</v>
      </c>
    </row>
    <row r="27" spans="1:4" x14ac:dyDescent="0.25">
      <c r="A27" s="3">
        <v>26</v>
      </c>
      <c r="B27" s="3">
        <v>390</v>
      </c>
      <c r="C27" s="3">
        <v>-678.75</v>
      </c>
      <c r="D27" s="7">
        <v>635.1316300578959</v>
      </c>
    </row>
    <row r="28" spans="1:4" x14ac:dyDescent="0.25">
      <c r="A28" s="3">
        <v>27</v>
      </c>
      <c r="B28" s="3">
        <v>390</v>
      </c>
      <c r="C28" s="3">
        <v>-725.25</v>
      </c>
      <c r="D28" s="7">
        <v>610.45162584761783</v>
      </c>
    </row>
    <row r="29" spans="1:4" x14ac:dyDescent="0.25">
      <c r="A29" s="3">
        <v>28</v>
      </c>
      <c r="B29" s="3">
        <v>470</v>
      </c>
      <c r="C29" s="3">
        <v>-726.25</v>
      </c>
      <c r="D29" s="7">
        <v>727.16551589029575</v>
      </c>
    </row>
    <row r="30" spans="1:4" x14ac:dyDescent="0.25">
      <c r="A30" s="3">
        <v>29</v>
      </c>
      <c r="B30" s="3">
        <v>470</v>
      </c>
      <c r="C30" s="3">
        <v>-584.25</v>
      </c>
      <c r="D30" s="7">
        <v>633.2599683384384</v>
      </c>
    </row>
    <row r="31" spans="1:4" x14ac:dyDescent="0.25">
      <c r="A31" s="3">
        <v>30</v>
      </c>
      <c r="B31" s="3">
        <v>470</v>
      </c>
      <c r="C31" s="3">
        <v>-990</v>
      </c>
      <c r="D31" s="7">
        <v>614.84957509947094</v>
      </c>
    </row>
    <row r="32" spans="1:4" x14ac:dyDescent="0.25">
      <c r="A32" s="3">
        <v>31</v>
      </c>
      <c r="B32" s="3">
        <v>470</v>
      </c>
      <c r="C32" s="3">
        <v>-868.5</v>
      </c>
      <c r="D32" s="7">
        <v>637.10105163937692</v>
      </c>
    </row>
    <row r="33" spans="1:4" x14ac:dyDescent="0.25">
      <c r="A33" s="3">
        <v>32</v>
      </c>
      <c r="B33" s="3">
        <v>505</v>
      </c>
      <c r="C33" s="3">
        <v>-637.5</v>
      </c>
      <c r="D33" s="7">
        <v>574.29413195678751</v>
      </c>
    </row>
    <row r="34" spans="1:4" x14ac:dyDescent="0.25">
      <c r="A34" s="3">
        <v>33</v>
      </c>
      <c r="B34" s="3">
        <v>635</v>
      </c>
      <c r="C34" s="3">
        <v>-688.5</v>
      </c>
      <c r="D34" s="7">
        <v>645.84073114042599</v>
      </c>
    </row>
    <row r="35" spans="1:4" x14ac:dyDescent="0.25">
      <c r="A35" s="3">
        <v>34</v>
      </c>
      <c r="B35" s="3">
        <v>635</v>
      </c>
      <c r="C35" s="3">
        <v>-632.75</v>
      </c>
      <c r="D35" s="7">
        <v>642.35207441091063</v>
      </c>
    </row>
    <row r="36" spans="1:4" x14ac:dyDescent="0.25">
      <c r="A36" s="3">
        <v>35</v>
      </c>
      <c r="B36" s="3">
        <v>635</v>
      </c>
      <c r="C36" s="3">
        <v>-610.75</v>
      </c>
      <c r="D36" s="7">
        <v>605.63246899419119</v>
      </c>
    </row>
    <row r="37" spans="1:4" x14ac:dyDescent="0.25">
      <c r="A37" s="3">
        <v>36</v>
      </c>
      <c r="B37" s="3">
        <v>635</v>
      </c>
      <c r="C37" s="3">
        <v>-520.75</v>
      </c>
      <c r="D37" s="7">
        <v>652.97449222768262</v>
      </c>
    </row>
    <row r="38" spans="1:4" x14ac:dyDescent="0.25">
      <c r="A38" s="3">
        <v>37</v>
      </c>
      <c r="B38" s="3">
        <v>635</v>
      </c>
      <c r="C38" s="3">
        <v>-605.5</v>
      </c>
      <c r="D38" s="7">
        <v>676.3872781180911</v>
      </c>
    </row>
    <row r="39" spans="1:4" x14ac:dyDescent="0.25">
      <c r="A39" s="3">
        <v>38</v>
      </c>
      <c r="B39" s="3">
        <v>635</v>
      </c>
      <c r="C39" s="3">
        <v>-408.5</v>
      </c>
      <c r="D39" s="7">
        <v>557.06619893868992</v>
      </c>
    </row>
    <row r="40" spans="1:4" x14ac:dyDescent="0.25">
      <c r="A40" s="3">
        <v>39</v>
      </c>
      <c r="B40" s="3">
        <v>640</v>
      </c>
      <c r="C40" s="3">
        <v>-607.25</v>
      </c>
      <c r="D40" s="7">
        <v>711.55020026699447</v>
      </c>
    </row>
    <row r="41" spans="1:4" x14ac:dyDescent="0.25">
      <c r="A41" s="3">
        <v>40</v>
      </c>
      <c r="B41" s="3">
        <v>640</v>
      </c>
      <c r="C41" s="3">
        <v>-621.5</v>
      </c>
      <c r="D41" s="7">
        <v>646.22190461172079</v>
      </c>
    </row>
    <row r="42" spans="1:4" x14ac:dyDescent="0.25">
      <c r="A42" s="3">
        <v>41</v>
      </c>
      <c r="B42" s="3">
        <v>640</v>
      </c>
      <c r="C42" s="3">
        <v>-598</v>
      </c>
      <c r="D42" s="7">
        <v>654.52540057663157</v>
      </c>
    </row>
    <row r="43" spans="1:4" x14ac:dyDescent="0.25">
      <c r="A43" s="3">
        <v>42</v>
      </c>
      <c r="B43" s="3">
        <v>640</v>
      </c>
      <c r="C43" s="3">
        <v>-591.5</v>
      </c>
      <c r="D43" s="7">
        <v>662.69355663081558</v>
      </c>
    </row>
    <row r="44" spans="1:4" x14ac:dyDescent="0.25">
      <c r="A44" s="3">
        <v>43</v>
      </c>
      <c r="B44" s="3">
        <v>640</v>
      </c>
      <c r="C44" s="3">
        <v>-751</v>
      </c>
      <c r="D44" s="7">
        <v>683.00732060498444</v>
      </c>
    </row>
    <row r="45" spans="1:4" x14ac:dyDescent="0.25">
      <c r="A45" s="3">
        <v>44</v>
      </c>
      <c r="B45" s="3">
        <v>640</v>
      </c>
      <c r="C45" s="3">
        <v>-690.75</v>
      </c>
      <c r="D45" s="7">
        <v>581.98641521946195</v>
      </c>
    </row>
    <row r="46" spans="1:4" x14ac:dyDescent="0.25">
      <c r="A46" s="3">
        <v>45</v>
      </c>
      <c r="B46" s="3">
        <v>640</v>
      </c>
      <c r="C46" s="3">
        <v>-578</v>
      </c>
      <c r="D46" s="7">
        <v>683.95796654472849</v>
      </c>
    </row>
    <row r="47" spans="1:4" x14ac:dyDescent="0.25">
      <c r="A47" s="3">
        <v>46</v>
      </c>
      <c r="B47" s="3">
        <v>640</v>
      </c>
      <c r="C47" s="3">
        <v>-447.25</v>
      </c>
      <c r="D47" s="7">
        <v>660.6010047676283</v>
      </c>
    </row>
    <row r="48" spans="1:4" x14ac:dyDescent="0.25">
      <c r="A48" s="3">
        <v>47</v>
      </c>
      <c r="B48" s="3">
        <v>640</v>
      </c>
      <c r="C48" s="3">
        <v>-529.25</v>
      </c>
      <c r="D48" s="7">
        <v>677.45899322394416</v>
      </c>
    </row>
    <row r="49" spans="1:4" x14ac:dyDescent="0.25">
      <c r="A49" s="3">
        <v>48</v>
      </c>
      <c r="B49" s="3">
        <v>565</v>
      </c>
      <c r="C49" s="3">
        <v>-805.75</v>
      </c>
      <c r="D49" s="7">
        <v>567.50611230188531</v>
      </c>
    </row>
    <row r="50" spans="1:4" x14ac:dyDescent="0.25">
      <c r="A50" s="3">
        <v>49</v>
      </c>
      <c r="B50" s="3">
        <v>565</v>
      </c>
      <c r="C50" s="3">
        <v>-499.5</v>
      </c>
      <c r="D50" s="7">
        <v>592.02385931649746</v>
      </c>
    </row>
    <row r="51" spans="1:4" x14ac:dyDescent="0.25">
      <c r="A51" s="4">
        <v>50</v>
      </c>
      <c r="B51" s="4">
        <v>565</v>
      </c>
      <c r="C51" s="4">
        <v>-624</v>
      </c>
      <c r="D51" s="8">
        <v>609.98893432586135</v>
      </c>
    </row>
  </sheetData>
  <mergeCells count="1">
    <mergeCell ref="F1:L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1"/>
  <sheetViews>
    <sheetView tabSelected="1" topLeftCell="C45" zoomScaleNormal="100" workbookViewId="0">
      <selection activeCell="K73" sqref="K73"/>
    </sheetView>
  </sheetViews>
  <sheetFormatPr baseColWidth="10" defaultColWidth="9.140625" defaultRowHeight="15" x14ac:dyDescent="0.25"/>
  <cols>
    <col min="1" max="1" width="17.42578125" style="10" customWidth="1"/>
    <col min="2" max="6" width="17.42578125" customWidth="1"/>
  </cols>
  <sheetData>
    <row r="1" spans="1:6" ht="63" x14ac:dyDescent="0.25">
      <c r="A1" s="9" t="s">
        <v>0</v>
      </c>
      <c r="B1" s="11" t="s">
        <v>4</v>
      </c>
      <c r="C1" s="11" t="s">
        <v>5</v>
      </c>
      <c r="D1" s="11" t="s">
        <v>6</v>
      </c>
      <c r="E1" s="11" t="s">
        <v>7</v>
      </c>
      <c r="F1" s="11" t="s">
        <v>8</v>
      </c>
    </row>
    <row r="2" spans="1:6" ht="23.25" x14ac:dyDescent="0.35">
      <c r="A2" s="13">
        <v>1</v>
      </c>
      <c r="B2" s="7">
        <f>AVERAGE(seed_987654321!B2,seed_123456789!B2,seed_121212!B2)</f>
        <v>-645</v>
      </c>
      <c r="C2" s="12">
        <f>_xlfn.STDEV.P(seed_987654321!B2,seed_123456789!B2,seed_121212!B2)</f>
        <v>130.83067937860244</v>
      </c>
      <c r="D2" s="12">
        <f>AVERAGE(seed_987654321!C2,seed_123456789!C2,seed_121212!C2)</f>
        <v>-1233.1666666666667</v>
      </c>
      <c r="E2" s="12">
        <f>_xlfn.STDEV.P(seed_987654321!C2,seed_123456789!C2,seed_121212!C2)</f>
        <v>103.26953675804991</v>
      </c>
      <c r="F2" s="2">
        <f>MAX(seed_987654321!B2,seed_123456789!B2,seed_121212!B2)</f>
        <v>-490</v>
      </c>
    </row>
    <row r="3" spans="1:6" ht="23.25" x14ac:dyDescent="0.35">
      <c r="A3" s="13">
        <v>2</v>
      </c>
      <c r="B3" s="7">
        <f>AVERAGE(seed_987654321!B3,seed_123456789!B3,seed_121212!B3)</f>
        <v>-473.33333333333331</v>
      </c>
      <c r="C3" s="12">
        <f>_xlfn.STDEV.P(seed_987654321!B3,seed_123456789!B3,seed_121212!B3)</f>
        <v>321.1005380804516</v>
      </c>
      <c r="D3" s="12">
        <f>AVERAGE(seed_987654321!C3,seed_123456789!C3,seed_121212!C3)</f>
        <v>-1123.6666666666667</v>
      </c>
      <c r="E3" s="12">
        <f>_xlfn.STDEV.P(seed_987654321!C3,seed_123456789!C3,seed_121212!C3)</f>
        <v>137.58896112051366</v>
      </c>
      <c r="F3" s="2">
        <f>MAX(seed_987654321!B3,seed_123456789!B3,seed_121212!B3)</f>
        <v>-25</v>
      </c>
    </row>
    <row r="4" spans="1:6" ht="23.25" x14ac:dyDescent="0.35">
      <c r="A4" s="13">
        <v>3</v>
      </c>
      <c r="B4" s="7">
        <f>AVERAGE(seed_987654321!B4,seed_123456789!B4,seed_121212!B4)</f>
        <v>-368.33333333333331</v>
      </c>
      <c r="C4" s="12">
        <f>_xlfn.STDEV.P(seed_987654321!B4,seed_123456789!B4,seed_121212!B4)</f>
        <v>302.00257541212386</v>
      </c>
      <c r="D4" s="12">
        <f>AVERAGE(seed_987654321!C4,seed_123456789!C4,seed_121212!C4)</f>
        <v>-1160.0833333333333</v>
      </c>
      <c r="E4" s="12">
        <f>_xlfn.STDEV.P(seed_987654321!C4,seed_123456789!C4,seed_121212!C4)</f>
        <v>186.73090412557733</v>
      </c>
      <c r="F4" s="2">
        <f>MAX(seed_987654321!B4,seed_123456789!B4,seed_121212!B4)</f>
        <v>-25</v>
      </c>
    </row>
    <row r="5" spans="1:6" ht="23.25" x14ac:dyDescent="0.35">
      <c r="A5" s="13">
        <v>4</v>
      </c>
      <c r="B5" s="7">
        <f>AVERAGE(seed_987654321!B5,seed_123456789!B5,seed_121212!B5)</f>
        <v>-295</v>
      </c>
      <c r="C5" s="12">
        <f>_xlfn.STDEV.P(seed_987654321!B5,seed_123456789!B5,seed_121212!B5)</f>
        <v>316.88588903052573</v>
      </c>
      <c r="D5" s="12">
        <f>AVERAGE(seed_987654321!C5,seed_123456789!C5,seed_121212!C5)</f>
        <v>-1087.9166666666667</v>
      </c>
      <c r="E5" s="12">
        <f>_xlfn.STDEV.P(seed_987654321!C5,seed_123456789!C5,seed_121212!C5)</f>
        <v>134.75785897510971</v>
      </c>
      <c r="F5" s="2">
        <f>MAX(seed_987654321!B5,seed_123456789!B5,seed_121212!B5)</f>
        <v>105</v>
      </c>
    </row>
    <row r="6" spans="1:6" ht="23.25" x14ac:dyDescent="0.35">
      <c r="A6" s="13">
        <v>5</v>
      </c>
      <c r="B6" s="7">
        <f>AVERAGE(seed_987654321!B6,seed_123456789!B6,seed_121212!B6)</f>
        <v>93.333333333333329</v>
      </c>
      <c r="C6" s="12">
        <f>_xlfn.STDEV.P(seed_987654321!B6,seed_123456789!B6,seed_121212!B6)</f>
        <v>247.12794706836016</v>
      </c>
      <c r="D6" s="12">
        <f>AVERAGE(seed_987654321!C6,seed_123456789!C6,seed_121212!C6)</f>
        <v>-938.58333333333337</v>
      </c>
      <c r="E6" s="12">
        <f>_xlfn.STDEV.P(seed_987654321!C6,seed_123456789!C6,seed_121212!C6)</f>
        <v>200.38715999007744</v>
      </c>
      <c r="F6" s="2">
        <f>MAX(seed_987654321!B6,seed_123456789!B6,seed_121212!B6)</f>
        <v>390</v>
      </c>
    </row>
    <row r="7" spans="1:6" ht="23.25" x14ac:dyDescent="0.35">
      <c r="A7" s="13">
        <v>6</v>
      </c>
      <c r="B7" s="7">
        <f>AVERAGE(seed_987654321!B7,seed_123456789!B7,seed_121212!B7)</f>
        <v>-120</v>
      </c>
      <c r="C7" s="12">
        <f>_xlfn.STDEV.P(seed_987654321!B7,seed_123456789!B7,seed_121212!B7)</f>
        <v>383.55790523292131</v>
      </c>
      <c r="D7" s="12">
        <f>AVERAGE(seed_987654321!C7,seed_123456789!C7,seed_121212!C7)</f>
        <v>-881.41666666666663</v>
      </c>
      <c r="E7" s="12">
        <f>_xlfn.STDEV.P(seed_987654321!C7,seed_123456789!C7,seed_121212!C7)</f>
        <v>187.70647890315939</v>
      </c>
      <c r="F7" s="2">
        <f>MAX(seed_987654321!B7,seed_123456789!B7,seed_121212!B7)</f>
        <v>390</v>
      </c>
    </row>
    <row r="8" spans="1:6" ht="23.25" x14ac:dyDescent="0.35">
      <c r="A8" s="13">
        <v>7</v>
      </c>
      <c r="B8" s="7">
        <f>AVERAGE(seed_987654321!B8,seed_123456789!B8,seed_121212!B8)</f>
        <v>-98.333333333333329</v>
      </c>
      <c r="C8" s="12">
        <f>_xlfn.STDEV.P(seed_987654321!B8,seed_123456789!B8,seed_121212!B8)</f>
        <v>379.39278971652698</v>
      </c>
      <c r="D8" s="12">
        <f>AVERAGE(seed_987654321!C8,seed_123456789!C8,seed_121212!C8)</f>
        <v>-1052.4166666666667</v>
      </c>
      <c r="E8" s="12">
        <f>_xlfn.STDEV.P(seed_987654321!C8,seed_123456789!C8,seed_121212!C8)</f>
        <v>244.47710640376033</v>
      </c>
      <c r="F8" s="2">
        <f>MAX(seed_987654321!B8,seed_123456789!B8,seed_121212!B8)</f>
        <v>390</v>
      </c>
    </row>
    <row r="9" spans="1:6" ht="23.25" x14ac:dyDescent="0.35">
      <c r="A9" s="13">
        <v>8</v>
      </c>
      <c r="B9" s="7">
        <f>AVERAGE(seed_987654321!B9,seed_123456789!B9,seed_121212!B9)</f>
        <v>-98.333333333333329</v>
      </c>
      <c r="C9" s="12">
        <f>_xlfn.STDEV.P(seed_987654321!B9,seed_123456789!B9,seed_121212!B9)</f>
        <v>379.39278971652698</v>
      </c>
      <c r="D9" s="12">
        <f>AVERAGE(seed_987654321!C9,seed_123456789!C9,seed_121212!C9)</f>
        <v>-951.41666666666663</v>
      </c>
      <c r="E9" s="12">
        <f>_xlfn.STDEV.P(seed_987654321!C9,seed_123456789!C9,seed_121212!C9)</f>
        <v>336.52156526571798</v>
      </c>
      <c r="F9" s="2">
        <f>MAX(seed_987654321!B9,seed_123456789!B9,seed_121212!B9)</f>
        <v>390</v>
      </c>
    </row>
    <row r="10" spans="1:6" ht="23.25" x14ac:dyDescent="0.35">
      <c r="A10" s="13">
        <v>9</v>
      </c>
      <c r="B10" s="7">
        <f>AVERAGE(seed_987654321!B10,seed_123456789!B10,seed_121212!B10)</f>
        <v>-63.333333333333336</v>
      </c>
      <c r="C10" s="12">
        <f>_xlfn.STDEV.P(seed_987654321!B10,seed_123456789!B10,seed_121212!B10)</f>
        <v>377.85211686878534</v>
      </c>
      <c r="D10" s="12">
        <f>AVERAGE(seed_987654321!C10,seed_123456789!C10,seed_121212!C10)</f>
        <v>-924.08333333333337</v>
      </c>
      <c r="E10" s="12">
        <f>_xlfn.STDEV.P(seed_987654321!C10,seed_123456789!C10,seed_121212!C10)</f>
        <v>277.22210810507562</v>
      </c>
      <c r="F10" s="2">
        <f>MAX(seed_987654321!B10,seed_123456789!B10,seed_121212!B10)</f>
        <v>390</v>
      </c>
    </row>
    <row r="11" spans="1:6" ht="23.25" x14ac:dyDescent="0.35">
      <c r="A11" s="13">
        <v>10</v>
      </c>
      <c r="B11" s="7">
        <f>AVERAGE(seed_987654321!B11,seed_123456789!B11,seed_121212!B11)</f>
        <v>-56.666666666666664</v>
      </c>
      <c r="C11" s="12">
        <f>_xlfn.STDEV.P(seed_987654321!B11,seed_123456789!B11,seed_121212!B11)</f>
        <v>369.55679160613761</v>
      </c>
      <c r="D11" s="12">
        <f>AVERAGE(seed_987654321!C11,seed_123456789!C11,seed_121212!C11)</f>
        <v>-975.5</v>
      </c>
      <c r="E11" s="12">
        <f>_xlfn.STDEV.P(seed_987654321!C11,seed_123456789!C11,seed_121212!C11)</f>
        <v>221.3685652179791</v>
      </c>
      <c r="F11" s="2">
        <f>MAX(seed_987654321!B11,seed_123456789!B11,seed_121212!B11)</f>
        <v>390</v>
      </c>
    </row>
    <row r="12" spans="1:6" ht="23.25" x14ac:dyDescent="0.35">
      <c r="A12" s="13">
        <v>11</v>
      </c>
      <c r="B12" s="7">
        <f>AVERAGE(seed_987654321!B12,seed_123456789!B12,seed_121212!B12)</f>
        <v>-56.666666666666664</v>
      </c>
      <c r="C12" s="12">
        <f>_xlfn.STDEV.P(seed_987654321!B12,seed_123456789!B12,seed_121212!B12)</f>
        <v>369.55679160613761</v>
      </c>
      <c r="D12" s="12">
        <f>AVERAGE(seed_987654321!C12,seed_123456789!C12,seed_121212!C12)</f>
        <v>-850.66666666666663</v>
      </c>
      <c r="E12" s="12">
        <f>_xlfn.STDEV.P(seed_987654321!C12,seed_123456789!C12,seed_121212!C12)</f>
        <v>264.72826739046127</v>
      </c>
      <c r="F12" s="2">
        <f>MAX(seed_987654321!B12,seed_123456789!B12,seed_121212!B12)</f>
        <v>390</v>
      </c>
    </row>
    <row r="13" spans="1:6" ht="23.25" x14ac:dyDescent="0.35">
      <c r="A13" s="13">
        <v>12</v>
      </c>
      <c r="B13" s="7">
        <f>AVERAGE(seed_987654321!B13,seed_123456789!B13,seed_121212!B13)</f>
        <v>-58.333333333333336</v>
      </c>
      <c r="C13" s="12">
        <f>_xlfn.STDEV.P(seed_987654321!B13,seed_123456789!B13,seed_121212!B13)</f>
        <v>378.16075358973404</v>
      </c>
      <c r="D13" s="12">
        <f>AVERAGE(seed_987654321!C13,seed_123456789!C13,seed_121212!C13)</f>
        <v>-845.66666666666663</v>
      </c>
      <c r="E13" s="12">
        <f>_xlfn.STDEV.P(seed_987654321!C13,seed_123456789!C13,seed_121212!C13)</f>
        <v>256.58407762152524</v>
      </c>
      <c r="F13" s="2">
        <f>MAX(seed_987654321!B13,seed_123456789!B13,seed_121212!B13)</f>
        <v>390</v>
      </c>
    </row>
    <row r="14" spans="1:6" ht="23.25" x14ac:dyDescent="0.35">
      <c r="A14" s="13">
        <v>13</v>
      </c>
      <c r="B14" s="7">
        <f>AVERAGE(seed_987654321!B14,seed_123456789!B14,seed_121212!B14)</f>
        <v>-58.333333333333336</v>
      </c>
      <c r="C14" s="12">
        <f>_xlfn.STDEV.P(seed_987654321!B14,seed_123456789!B14,seed_121212!B14)</f>
        <v>378.16075358973404</v>
      </c>
      <c r="D14" s="12">
        <f>AVERAGE(seed_987654321!C14,seed_123456789!C14,seed_121212!C14)</f>
        <v>-977.41666666666663</v>
      </c>
      <c r="E14" s="12">
        <f>_xlfn.STDEV.P(seed_987654321!C14,seed_123456789!C14,seed_121212!C14)</f>
        <v>192.46237005941938</v>
      </c>
      <c r="F14" s="2">
        <f>MAX(seed_987654321!B14,seed_123456789!B14,seed_121212!B14)</f>
        <v>390</v>
      </c>
    </row>
    <row r="15" spans="1:6" ht="23.25" x14ac:dyDescent="0.35">
      <c r="A15" s="13">
        <v>14</v>
      </c>
      <c r="B15" s="7">
        <f>AVERAGE(seed_987654321!B15,seed_123456789!B15,seed_121212!B15)</f>
        <v>-55</v>
      </c>
      <c r="C15" s="12">
        <f>_xlfn.STDEV.P(seed_987654321!B15,seed_123456789!B15,seed_121212!B15)</f>
        <v>373.9652390263031</v>
      </c>
      <c r="D15" s="12">
        <f>AVERAGE(seed_987654321!C15,seed_123456789!C15,seed_121212!C15)</f>
        <v>-954.91666666666663</v>
      </c>
      <c r="E15" s="12">
        <f>_xlfn.STDEV.P(seed_987654321!C15,seed_123456789!C15,seed_121212!C15)</f>
        <v>334.88656868989074</v>
      </c>
      <c r="F15" s="2">
        <f>MAX(seed_987654321!B15,seed_123456789!B15,seed_121212!B15)</f>
        <v>390</v>
      </c>
    </row>
    <row r="16" spans="1:6" ht="23.25" x14ac:dyDescent="0.35">
      <c r="A16" s="13">
        <v>15</v>
      </c>
      <c r="B16" s="7">
        <f>AVERAGE(seed_987654321!B16,seed_123456789!B16,seed_121212!B16)</f>
        <v>-55</v>
      </c>
      <c r="C16" s="12">
        <f>_xlfn.STDEV.P(seed_987654321!B16,seed_123456789!B16,seed_121212!B16)</f>
        <v>373.9652390263031</v>
      </c>
      <c r="D16" s="12">
        <f>AVERAGE(seed_987654321!C16,seed_123456789!C16,seed_121212!C16)</f>
        <v>-1038.1666666666667</v>
      </c>
      <c r="E16" s="12">
        <f>_xlfn.STDEV.P(seed_987654321!C16,seed_123456789!C16,seed_121212!C16)</f>
        <v>235.68564280036708</v>
      </c>
      <c r="F16" s="2">
        <f>MAX(seed_987654321!B16,seed_123456789!B16,seed_121212!B16)</f>
        <v>390</v>
      </c>
    </row>
    <row r="17" spans="1:16" ht="23.25" x14ac:dyDescent="0.35">
      <c r="A17" s="13">
        <v>16</v>
      </c>
      <c r="B17" s="7">
        <f>AVERAGE(seed_987654321!B17,seed_123456789!B17,seed_121212!B17)</f>
        <v>-55</v>
      </c>
      <c r="C17" s="12">
        <f>_xlfn.STDEV.P(seed_987654321!B17,seed_123456789!B17,seed_121212!B17)</f>
        <v>373.9652390263031</v>
      </c>
      <c r="D17" s="12">
        <f>AVERAGE(seed_987654321!C17,seed_123456789!C17,seed_121212!C17)</f>
        <v>-1004</v>
      </c>
      <c r="E17" s="12">
        <f>_xlfn.STDEV.P(seed_987654321!C17,seed_123456789!C17,seed_121212!C17)</f>
        <v>289.18073933095889</v>
      </c>
      <c r="F17" s="2">
        <f>MAX(seed_987654321!B17,seed_123456789!B17,seed_121212!B17)</f>
        <v>390</v>
      </c>
    </row>
    <row r="18" spans="1:16" ht="23.25" x14ac:dyDescent="0.35">
      <c r="A18" s="13">
        <v>17</v>
      </c>
      <c r="B18" s="7">
        <f>AVERAGE(seed_987654321!B18,seed_123456789!B18,seed_121212!B18)</f>
        <v>-55</v>
      </c>
      <c r="C18" s="12">
        <f>_xlfn.STDEV.P(seed_987654321!B18,seed_123456789!B18,seed_121212!B18)</f>
        <v>373.9652390263031</v>
      </c>
      <c r="D18" s="12">
        <f>AVERAGE(seed_987654321!C18,seed_123456789!C18,seed_121212!C18)</f>
        <v>-979.16666666666663</v>
      </c>
      <c r="E18" s="12">
        <f>_xlfn.STDEV.P(seed_987654321!C18,seed_123456789!C18,seed_121212!C18)</f>
        <v>238.63416328951917</v>
      </c>
      <c r="F18" s="2">
        <f>MAX(seed_987654321!B18,seed_123456789!B18,seed_121212!B18)</f>
        <v>390</v>
      </c>
    </row>
    <row r="19" spans="1:16" ht="23.25" x14ac:dyDescent="0.35">
      <c r="A19" s="13">
        <v>18</v>
      </c>
      <c r="B19" s="7">
        <f>AVERAGE(seed_987654321!B19,seed_123456789!B19,seed_121212!B19)</f>
        <v>-55</v>
      </c>
      <c r="C19" s="12">
        <f>_xlfn.STDEV.P(seed_987654321!B19,seed_123456789!B19,seed_121212!B19)</f>
        <v>373.9652390263031</v>
      </c>
      <c r="D19" s="12">
        <f>AVERAGE(seed_987654321!C19,seed_123456789!C19,seed_121212!C19)</f>
        <v>-938.58333333333337</v>
      </c>
      <c r="E19" s="12">
        <f>_xlfn.STDEV.P(seed_987654321!C19,seed_123456789!C19,seed_121212!C19)</f>
        <v>249.67982275083602</v>
      </c>
      <c r="F19" s="2">
        <f>MAX(seed_987654321!B19,seed_123456789!B19,seed_121212!B19)</f>
        <v>390</v>
      </c>
    </row>
    <row r="20" spans="1:16" ht="23.25" x14ac:dyDescent="0.35">
      <c r="A20" s="13">
        <v>19</v>
      </c>
      <c r="B20" s="7">
        <f>AVERAGE(seed_987654321!B20,seed_123456789!B20,seed_121212!B20)</f>
        <v>-36.666666666666664</v>
      </c>
      <c r="C20" s="12">
        <f>_xlfn.STDEV.P(seed_987654321!B20,seed_123456789!B20,seed_121212!B20)</f>
        <v>376.08361954343195</v>
      </c>
      <c r="D20" s="12">
        <f>AVERAGE(seed_987654321!C20,seed_123456789!C20,seed_121212!C20)</f>
        <v>-933.16666666666663</v>
      </c>
      <c r="E20" s="12">
        <f>_xlfn.STDEV.P(seed_987654321!C20,seed_123456789!C20,seed_121212!C20)</f>
        <v>260.19002137326908</v>
      </c>
      <c r="F20" s="2">
        <f>MAX(seed_987654321!B20,seed_123456789!B20,seed_121212!B20)</f>
        <v>390</v>
      </c>
    </row>
    <row r="21" spans="1:16" ht="23.25" x14ac:dyDescent="0.35">
      <c r="A21" s="13">
        <v>20</v>
      </c>
      <c r="B21" s="7">
        <f>AVERAGE(seed_987654321!B21,seed_123456789!B21,seed_121212!B21)</f>
        <v>-36.666666666666664</v>
      </c>
      <c r="C21" s="12">
        <f>_xlfn.STDEV.P(seed_987654321!B21,seed_123456789!B21,seed_121212!B21)</f>
        <v>376.08361954343195</v>
      </c>
      <c r="D21" s="12">
        <f>AVERAGE(seed_987654321!C21,seed_123456789!C21,seed_121212!C21)</f>
        <v>-1004.9166666666666</v>
      </c>
      <c r="E21" s="12">
        <f>_xlfn.STDEV.P(seed_987654321!C21,seed_123456789!C21,seed_121212!C21)</f>
        <v>285.46441206489396</v>
      </c>
      <c r="F21" s="2">
        <f>MAX(seed_987654321!B21,seed_123456789!B21,seed_121212!B21)</f>
        <v>390</v>
      </c>
    </row>
    <row r="22" spans="1:16" ht="23.25" x14ac:dyDescent="0.35">
      <c r="A22" s="13">
        <v>21</v>
      </c>
      <c r="B22" s="7">
        <f>AVERAGE(seed_987654321!B22,seed_123456789!B22,seed_121212!B22)</f>
        <v>1.6666666666666667</v>
      </c>
      <c r="C22" s="12">
        <f>_xlfn.STDEV.P(seed_987654321!B22,seed_123456789!B22,seed_121212!B22)</f>
        <v>304.96812219567403</v>
      </c>
      <c r="D22" s="12">
        <f>AVERAGE(seed_987654321!C22,seed_123456789!C22,seed_121212!C22)</f>
        <v>-968.25</v>
      </c>
      <c r="E22" s="12">
        <f>_xlfn.STDEV.P(seed_987654321!C22,seed_123456789!C22,seed_121212!C22)</f>
        <v>236.03398413505346</v>
      </c>
      <c r="F22" s="2">
        <f>MAX(seed_987654321!B22,seed_123456789!B22,seed_121212!B22)</f>
        <v>390</v>
      </c>
    </row>
    <row r="23" spans="1:16" ht="23.25" x14ac:dyDescent="0.35">
      <c r="A23" s="13">
        <v>22</v>
      </c>
      <c r="B23" s="7">
        <f>AVERAGE(seed_987654321!B23,seed_123456789!B23,seed_121212!B23)</f>
        <v>1.6666666666666667</v>
      </c>
      <c r="C23" s="12">
        <f>_xlfn.STDEV.P(seed_987654321!B23,seed_123456789!B23,seed_121212!B23)</f>
        <v>304.96812219567403</v>
      </c>
      <c r="D23" s="12">
        <f>AVERAGE(seed_987654321!C23,seed_123456789!C23,seed_121212!C23)</f>
        <v>-1047.75</v>
      </c>
      <c r="E23" s="12">
        <f>_xlfn.STDEV.P(seed_987654321!C23,seed_123456789!C23,seed_121212!C23)</f>
        <v>137.350524813947</v>
      </c>
      <c r="F23" s="2">
        <f>MAX(seed_987654321!B23,seed_123456789!B23,seed_121212!B23)</f>
        <v>390</v>
      </c>
    </row>
    <row r="24" spans="1:16" ht="23.25" x14ac:dyDescent="0.35">
      <c r="A24" s="13">
        <v>23</v>
      </c>
      <c r="B24" s="7">
        <f>AVERAGE(seed_987654321!B24,seed_123456789!B24,seed_121212!B24)</f>
        <v>1.6666666666666667</v>
      </c>
      <c r="C24" s="12">
        <f>_xlfn.STDEV.P(seed_987654321!B24,seed_123456789!B24,seed_121212!B24)</f>
        <v>304.96812219567403</v>
      </c>
      <c r="D24" s="12">
        <f>AVERAGE(seed_987654321!C24,seed_123456789!C24,seed_121212!C24)</f>
        <v>-1004.6666666666666</v>
      </c>
      <c r="E24" s="12">
        <f>_xlfn.STDEV.P(seed_987654321!C24,seed_123456789!C24,seed_121212!C24)</f>
        <v>151.97879969112651</v>
      </c>
      <c r="F24" s="2">
        <f>MAX(seed_987654321!B24,seed_123456789!B24,seed_121212!B24)</f>
        <v>390</v>
      </c>
    </row>
    <row r="25" spans="1:16" ht="23.25" x14ac:dyDescent="0.35">
      <c r="A25" s="13">
        <v>24</v>
      </c>
      <c r="B25" s="7">
        <f>AVERAGE(seed_987654321!B25,seed_123456789!B25,seed_121212!B25)</f>
        <v>1.6666666666666667</v>
      </c>
      <c r="C25" s="12">
        <f>_xlfn.STDEV.P(seed_987654321!B25,seed_123456789!B25,seed_121212!B25)</f>
        <v>304.96812219567403</v>
      </c>
      <c r="D25" s="12">
        <f>AVERAGE(seed_987654321!C25,seed_123456789!C25,seed_121212!C25)</f>
        <v>-979</v>
      </c>
      <c r="E25" s="12">
        <f>_xlfn.STDEV.P(seed_987654321!C25,seed_123456789!C25,seed_121212!C25)</f>
        <v>202.15247957915332</v>
      </c>
      <c r="F25" s="2">
        <f>MAX(seed_987654321!B25,seed_123456789!B25,seed_121212!B25)</f>
        <v>390</v>
      </c>
      <c r="P25" t="s">
        <v>12</v>
      </c>
    </row>
    <row r="26" spans="1:16" ht="23.25" x14ac:dyDescent="0.35">
      <c r="A26" s="13">
        <v>25</v>
      </c>
      <c r="B26" s="7">
        <f>AVERAGE(seed_987654321!B26,seed_123456789!B26,seed_121212!B26)</f>
        <v>11.666666666666666</v>
      </c>
      <c r="C26" s="12">
        <f>_xlfn.STDEV.P(seed_987654321!B26,seed_123456789!B26,seed_121212!B26)</f>
        <v>304.25683594986361</v>
      </c>
      <c r="D26" s="12">
        <f>AVERAGE(seed_987654321!C26,seed_123456789!C26,seed_121212!C26)</f>
        <v>-885</v>
      </c>
      <c r="E26" s="12">
        <f>_xlfn.STDEV.P(seed_987654321!C26,seed_123456789!C26,seed_121212!C26)</f>
        <v>339.45599862132354</v>
      </c>
      <c r="F26" s="2">
        <f>MAX(seed_987654321!B26,seed_123456789!B26,seed_121212!B26)</f>
        <v>390</v>
      </c>
    </row>
    <row r="27" spans="1:16" ht="23.25" x14ac:dyDescent="0.35">
      <c r="A27" s="13">
        <v>26</v>
      </c>
      <c r="B27" s="7">
        <f>AVERAGE(seed_987654321!B27,seed_123456789!B27,seed_121212!B27)</f>
        <v>76.666666666666671</v>
      </c>
      <c r="C27" s="12">
        <f>_xlfn.STDEV.P(seed_987654321!B27,seed_123456789!B27,seed_121212!B27)</f>
        <v>230.98821518760553</v>
      </c>
      <c r="D27" s="12">
        <f>AVERAGE(seed_987654321!C27,seed_123456789!C27,seed_121212!C27)</f>
        <v>-914.16666666666663</v>
      </c>
      <c r="E27" s="12">
        <f>_xlfn.STDEV.P(seed_987654321!C27,seed_123456789!C27,seed_121212!C27)</f>
        <v>227.61556893635861</v>
      </c>
      <c r="F27" s="2">
        <f>MAX(seed_987654321!B27,seed_123456789!B27,seed_121212!B27)</f>
        <v>390</v>
      </c>
    </row>
    <row r="28" spans="1:16" ht="23.25" x14ac:dyDescent="0.35">
      <c r="A28" s="13">
        <v>27</v>
      </c>
      <c r="B28" s="7">
        <f>AVERAGE(seed_987654321!B28,seed_123456789!B28,seed_121212!B28)</f>
        <v>136.66666666666666</v>
      </c>
      <c r="C28" s="12">
        <f>_xlfn.STDEV.P(seed_987654321!B28,seed_123456789!B28,seed_121212!B28)</f>
        <v>226.61764175711377</v>
      </c>
      <c r="D28" s="12">
        <f>AVERAGE(seed_987654321!C28,seed_123456789!C28,seed_121212!C28)</f>
        <v>-813.75</v>
      </c>
      <c r="E28" s="12">
        <f>_xlfn.STDEV.P(seed_987654321!C28,seed_123456789!C28,seed_121212!C28)</f>
        <v>200.46570779063435</v>
      </c>
      <c r="F28" s="2">
        <f>MAX(seed_987654321!B28,seed_123456789!B28,seed_121212!B28)</f>
        <v>390</v>
      </c>
      <c r="P28" t="s">
        <v>12</v>
      </c>
    </row>
    <row r="29" spans="1:16" ht="23.25" x14ac:dyDescent="0.35">
      <c r="A29" s="13">
        <v>28</v>
      </c>
      <c r="B29" s="7">
        <f>AVERAGE(seed_987654321!B29,seed_123456789!B29,seed_121212!B29)</f>
        <v>163.33333333333334</v>
      </c>
      <c r="C29" s="12">
        <f>_xlfn.STDEV.P(seed_987654321!B29,seed_123456789!B29,seed_121212!B29)</f>
        <v>257.46628689770023</v>
      </c>
      <c r="D29" s="12">
        <f>AVERAGE(seed_987654321!C29,seed_123456789!C29,seed_121212!C29)</f>
        <v>-829.5</v>
      </c>
      <c r="E29" s="12">
        <f>_xlfn.STDEV.P(seed_987654321!C29,seed_123456789!C29,seed_121212!C29)</f>
        <v>181.95684012058098</v>
      </c>
      <c r="F29" s="2">
        <f>MAX(seed_987654321!B29,seed_123456789!B29,seed_121212!B29)</f>
        <v>470</v>
      </c>
    </row>
    <row r="30" spans="1:16" ht="23.25" x14ac:dyDescent="0.35">
      <c r="A30" s="13">
        <v>29</v>
      </c>
      <c r="B30" s="7">
        <f>AVERAGE(seed_987654321!B30,seed_123456789!B30,seed_121212!B30)</f>
        <v>163.33333333333334</v>
      </c>
      <c r="C30" s="12">
        <f>_xlfn.STDEV.P(seed_987654321!B30,seed_123456789!B30,seed_121212!B30)</f>
        <v>257.46628689770023</v>
      </c>
      <c r="D30" s="12">
        <f>AVERAGE(seed_987654321!C30,seed_123456789!C30,seed_121212!C30)</f>
        <v>-849.5</v>
      </c>
      <c r="E30" s="12">
        <f>_xlfn.STDEV.P(seed_987654321!C30,seed_123456789!C30,seed_121212!C30)</f>
        <v>334.94595335168128</v>
      </c>
      <c r="F30" s="2">
        <f>MAX(seed_987654321!B30,seed_123456789!B30,seed_121212!B30)</f>
        <v>470</v>
      </c>
    </row>
    <row r="31" spans="1:16" ht="23.25" x14ac:dyDescent="0.35">
      <c r="A31" s="13">
        <v>30</v>
      </c>
      <c r="B31" s="7">
        <f>AVERAGE(seed_987654321!B31,seed_123456789!B31,seed_121212!B31)</f>
        <v>163.33333333333334</v>
      </c>
      <c r="C31" s="12">
        <f>_xlfn.STDEV.P(seed_987654321!B31,seed_123456789!B31,seed_121212!B31)</f>
        <v>257.46628689770023</v>
      </c>
      <c r="D31" s="12">
        <f>AVERAGE(seed_987654321!C31,seed_123456789!C31,seed_121212!C31)</f>
        <v>-989.66666666666663</v>
      </c>
      <c r="E31" s="12">
        <f>_xlfn.STDEV.P(seed_987654321!C31,seed_123456789!C31,seed_121212!C31)</f>
        <v>167.58608898778627</v>
      </c>
      <c r="F31" s="2">
        <f>MAX(seed_987654321!B31,seed_123456789!B31,seed_121212!B31)</f>
        <v>470</v>
      </c>
    </row>
    <row r="32" spans="1:16" ht="23.25" x14ac:dyDescent="0.35">
      <c r="A32" s="13">
        <v>31</v>
      </c>
      <c r="B32" s="7">
        <f>AVERAGE(seed_987654321!B32,seed_123456789!B32,seed_121212!B32)</f>
        <v>163.33333333333334</v>
      </c>
      <c r="C32" s="12">
        <f>_xlfn.STDEV.P(seed_987654321!B32,seed_123456789!B32,seed_121212!B32)</f>
        <v>257.46628689770023</v>
      </c>
      <c r="D32" s="12">
        <f>AVERAGE(seed_987654321!C32,seed_123456789!C32,seed_121212!C32)</f>
        <v>-908.41666666666663</v>
      </c>
      <c r="E32" s="12">
        <f>_xlfn.STDEV.P(seed_987654321!C32,seed_123456789!C32,seed_121212!C32)</f>
        <v>163.20696642266498</v>
      </c>
      <c r="F32" s="2">
        <f>MAX(seed_987654321!B32,seed_123456789!B32,seed_121212!B32)</f>
        <v>470</v>
      </c>
    </row>
    <row r="33" spans="1:6" ht="23.25" x14ac:dyDescent="0.35">
      <c r="A33" s="13">
        <v>32</v>
      </c>
      <c r="B33" s="7">
        <f>AVERAGE(seed_987654321!B33,seed_123456789!B33,seed_121212!B33)</f>
        <v>175</v>
      </c>
      <c r="C33" s="12">
        <f>_xlfn.STDEV.P(seed_987654321!B33,seed_123456789!B33,seed_121212!B33)</f>
        <v>271.50813370259584</v>
      </c>
      <c r="D33" s="12">
        <f>AVERAGE(seed_987654321!C33,seed_123456789!C33,seed_121212!C33)</f>
        <v>-795.33333333333337</v>
      </c>
      <c r="E33" s="12">
        <f>_xlfn.STDEV.P(seed_987654321!C33,seed_123456789!C33,seed_121212!C33)</f>
        <v>178.42602731166275</v>
      </c>
      <c r="F33" s="2">
        <f>MAX(seed_987654321!B33,seed_123456789!B33,seed_121212!B33)</f>
        <v>505</v>
      </c>
    </row>
    <row r="34" spans="1:6" ht="23.25" x14ac:dyDescent="0.35">
      <c r="A34" s="13">
        <v>33</v>
      </c>
      <c r="B34" s="7">
        <f>AVERAGE(seed_987654321!B34,seed_123456789!B34,seed_121212!B34)</f>
        <v>163.33333333333334</v>
      </c>
      <c r="C34" s="12">
        <f>_xlfn.STDEV.P(seed_987654321!B34,seed_123456789!B34,seed_121212!B34)</f>
        <v>392.09550990656459</v>
      </c>
      <c r="D34" s="12">
        <f>AVERAGE(seed_987654321!C34,seed_123456789!C34,seed_121212!C34)</f>
        <v>-892.58333333333337</v>
      </c>
      <c r="E34" s="12">
        <f>_xlfn.STDEV.P(seed_987654321!C34,seed_123456789!C34,seed_121212!C34)</f>
        <v>199.59337135508505</v>
      </c>
      <c r="F34" s="2">
        <f>MAX(seed_987654321!B34,seed_123456789!B34,seed_121212!B34)</f>
        <v>635</v>
      </c>
    </row>
    <row r="35" spans="1:6" ht="23.25" x14ac:dyDescent="0.35">
      <c r="A35" s="13">
        <v>34</v>
      </c>
      <c r="B35" s="7">
        <f>AVERAGE(seed_987654321!B35,seed_123456789!B35,seed_121212!B35)</f>
        <v>163.33333333333334</v>
      </c>
      <c r="C35" s="12">
        <f>_xlfn.STDEV.P(seed_987654321!B35,seed_123456789!B35,seed_121212!B35)</f>
        <v>392.09550990656459</v>
      </c>
      <c r="D35" s="12">
        <f>AVERAGE(seed_987654321!C35,seed_123456789!C35,seed_121212!C35)</f>
        <v>-759.33333333333337</v>
      </c>
      <c r="E35" s="12">
        <f>_xlfn.STDEV.P(seed_987654321!C35,seed_123456789!C35,seed_121212!C35)</f>
        <v>208.4952370892172</v>
      </c>
      <c r="F35" s="2">
        <f>MAX(seed_987654321!B35,seed_123456789!B35,seed_121212!B35)</f>
        <v>635</v>
      </c>
    </row>
    <row r="36" spans="1:6" ht="23.25" x14ac:dyDescent="0.35">
      <c r="A36" s="13">
        <v>35</v>
      </c>
      <c r="B36" s="7">
        <f>AVERAGE(seed_987654321!B36,seed_123456789!B36,seed_121212!B36)</f>
        <v>220</v>
      </c>
      <c r="C36" s="12">
        <f>_xlfn.STDEV.P(seed_987654321!B36,seed_123456789!B36,seed_121212!B36)</f>
        <v>323.75402185404073</v>
      </c>
      <c r="D36" s="12">
        <f>AVERAGE(seed_987654321!C36,seed_123456789!C36,seed_121212!C36)</f>
        <v>-830.75</v>
      </c>
      <c r="E36" s="12">
        <f>_xlfn.STDEV.P(seed_987654321!C36,seed_123456789!C36,seed_121212!C36)</f>
        <v>172.83915933607176</v>
      </c>
      <c r="F36" s="2">
        <f>MAX(seed_987654321!B36,seed_123456789!B36,seed_121212!B36)</f>
        <v>635</v>
      </c>
    </row>
    <row r="37" spans="1:6" ht="23.25" x14ac:dyDescent="0.35">
      <c r="A37" s="13">
        <v>36</v>
      </c>
      <c r="B37" s="7">
        <f>AVERAGE(seed_987654321!B37,seed_123456789!B37,seed_121212!B37)</f>
        <v>220</v>
      </c>
      <c r="C37" s="12">
        <f>_xlfn.STDEV.P(seed_987654321!B37,seed_123456789!B37,seed_121212!B37)</f>
        <v>323.75402185404073</v>
      </c>
      <c r="D37" s="12">
        <f>AVERAGE(seed_987654321!C37,seed_123456789!C37,seed_121212!C37)</f>
        <v>-781.66666666666663</v>
      </c>
      <c r="E37" s="12">
        <f>_xlfn.STDEV.P(seed_987654321!C37,seed_123456789!C37,seed_121212!C37)</f>
        <v>196.02618164135345</v>
      </c>
      <c r="F37" s="2">
        <f>MAX(seed_987654321!B37,seed_123456789!B37,seed_121212!B37)</f>
        <v>635</v>
      </c>
    </row>
    <row r="38" spans="1:6" ht="23.25" x14ac:dyDescent="0.35">
      <c r="A38" s="13">
        <v>37</v>
      </c>
      <c r="B38" s="7">
        <f>AVERAGE(seed_987654321!B38,seed_123456789!B38,seed_121212!B38)</f>
        <v>220</v>
      </c>
      <c r="C38" s="12">
        <f>_xlfn.STDEV.P(seed_987654321!B38,seed_123456789!B38,seed_121212!B38)</f>
        <v>323.75402185404073</v>
      </c>
      <c r="D38" s="12">
        <f>AVERAGE(seed_987654321!C38,seed_123456789!C38,seed_121212!C38)</f>
        <v>-820.66666666666663</v>
      </c>
      <c r="E38" s="12">
        <f>_xlfn.STDEV.P(seed_987654321!C38,seed_123456789!C38,seed_121212!C38)</f>
        <v>188.23847168478133</v>
      </c>
      <c r="F38" s="2">
        <f>MAX(seed_987654321!B38,seed_123456789!B38,seed_121212!B38)</f>
        <v>635</v>
      </c>
    </row>
    <row r="39" spans="1:6" ht="23.25" x14ac:dyDescent="0.35">
      <c r="A39" s="13">
        <v>38</v>
      </c>
      <c r="B39" s="7">
        <f>AVERAGE(seed_987654321!B39,seed_123456789!B39,seed_121212!B39)</f>
        <v>225</v>
      </c>
      <c r="C39" s="12">
        <f>_xlfn.STDEV.P(seed_987654321!B39,seed_123456789!B39,seed_121212!B39)</f>
        <v>323.21303604073069</v>
      </c>
      <c r="D39" s="12">
        <f>AVERAGE(seed_987654321!C39,seed_123456789!C39,seed_121212!C39)</f>
        <v>-635.33333333333337</v>
      </c>
      <c r="E39" s="12">
        <f>_xlfn.STDEV.P(seed_987654321!C39,seed_123456789!C39,seed_121212!C39)</f>
        <v>182.93912162854127</v>
      </c>
      <c r="F39" s="2">
        <f>MAX(seed_987654321!B39,seed_123456789!B39,seed_121212!B39)</f>
        <v>635</v>
      </c>
    </row>
    <row r="40" spans="1:6" ht="23.25" x14ac:dyDescent="0.35">
      <c r="A40" s="13">
        <v>39</v>
      </c>
      <c r="B40" s="7">
        <f>AVERAGE(seed_987654321!B40,seed_123456789!B40,seed_121212!B40)</f>
        <v>221.66666666666666</v>
      </c>
      <c r="C40" s="12">
        <f>_xlfn.STDEV.P(seed_987654321!B40,seed_123456789!B40,seed_121212!B40)</f>
        <v>325.89193846358882</v>
      </c>
      <c r="D40" s="12">
        <f>AVERAGE(seed_987654321!C40,seed_123456789!C40,seed_121212!C40)</f>
        <v>-738.83333333333337</v>
      </c>
      <c r="E40" s="12">
        <f>_xlfn.STDEV.P(seed_987654321!C40,seed_123456789!C40,seed_121212!C40)</f>
        <v>110.55284055851099</v>
      </c>
      <c r="F40" s="2">
        <f>MAX(seed_987654321!B40,seed_123456789!B40,seed_121212!B40)</f>
        <v>640</v>
      </c>
    </row>
    <row r="41" spans="1:6" ht="23.25" x14ac:dyDescent="0.35">
      <c r="A41" s="13">
        <v>40</v>
      </c>
      <c r="B41" s="7">
        <f>AVERAGE(seed_987654321!B41,seed_123456789!B41,seed_121212!B41)</f>
        <v>221.66666666666666</v>
      </c>
      <c r="C41" s="12">
        <f>_xlfn.STDEV.P(seed_987654321!B41,seed_123456789!B41,seed_121212!B41)</f>
        <v>325.89193846358882</v>
      </c>
      <c r="D41" s="12">
        <f>AVERAGE(seed_987654321!C41,seed_123456789!C41,seed_121212!C41)</f>
        <v>-821.58333333333337</v>
      </c>
      <c r="E41" s="12">
        <f>_xlfn.STDEV.P(seed_987654321!C41,seed_123456789!C41,seed_121212!C41)</f>
        <v>144.43948175235499</v>
      </c>
      <c r="F41" s="2">
        <f>MAX(seed_987654321!B41,seed_123456789!B41,seed_121212!B41)</f>
        <v>640</v>
      </c>
    </row>
    <row r="42" spans="1:6" ht="23.25" x14ac:dyDescent="0.35">
      <c r="A42" s="13">
        <v>41</v>
      </c>
      <c r="B42" s="7">
        <f>AVERAGE(seed_987654321!B42,seed_123456789!B42,seed_121212!B42)</f>
        <v>221.66666666666666</v>
      </c>
      <c r="C42" s="12">
        <f>_xlfn.STDEV.P(seed_987654321!B42,seed_123456789!B42,seed_121212!B42)</f>
        <v>325.89193846358882</v>
      </c>
      <c r="D42" s="12">
        <f>AVERAGE(seed_987654321!C42,seed_123456789!C42,seed_121212!C42)</f>
        <v>-818.41666666666663</v>
      </c>
      <c r="E42" s="12">
        <f>_xlfn.STDEV.P(seed_987654321!C42,seed_123456789!C42,seed_121212!C42)</f>
        <v>164.54790757979541</v>
      </c>
      <c r="F42" s="2">
        <f>MAX(seed_987654321!B42,seed_123456789!B42,seed_121212!B42)</f>
        <v>640</v>
      </c>
    </row>
    <row r="43" spans="1:6" ht="23.25" x14ac:dyDescent="0.35">
      <c r="A43" s="13">
        <v>42</v>
      </c>
      <c r="B43" s="7">
        <f>AVERAGE(seed_987654321!B43,seed_123456789!B43,seed_121212!B43)</f>
        <v>221.66666666666666</v>
      </c>
      <c r="C43" s="12">
        <f>_xlfn.STDEV.P(seed_987654321!B43,seed_123456789!B43,seed_121212!B43)</f>
        <v>325.89193846358882</v>
      </c>
      <c r="D43" s="12">
        <f>AVERAGE(seed_987654321!C43,seed_123456789!C43,seed_121212!C43)</f>
        <v>-773.66666666666663</v>
      </c>
      <c r="E43" s="12">
        <f>_xlfn.STDEV.P(seed_987654321!C43,seed_123456789!C43,seed_121212!C43)</f>
        <v>139.55066781957331</v>
      </c>
      <c r="F43" s="2">
        <f>MAX(seed_987654321!B43,seed_123456789!B43,seed_121212!B43)</f>
        <v>640</v>
      </c>
    </row>
    <row r="44" spans="1:6" ht="23.25" x14ac:dyDescent="0.35">
      <c r="A44" s="13">
        <v>43</v>
      </c>
      <c r="B44" s="7">
        <f>AVERAGE(seed_987654321!B44,seed_123456789!B44,seed_121212!B44)</f>
        <v>306.66666666666669</v>
      </c>
      <c r="C44" s="12">
        <f>_xlfn.STDEV.P(seed_987654321!B44,seed_123456789!B44,seed_121212!B44)</f>
        <v>337.00478071122706</v>
      </c>
      <c r="D44" s="12">
        <f>AVERAGE(seed_987654321!C44,seed_123456789!C44,seed_121212!C44)</f>
        <v>-879</v>
      </c>
      <c r="E44" s="12">
        <f>_xlfn.STDEV.P(seed_987654321!C44,seed_123456789!C44,seed_121212!C44)</f>
        <v>100.14739137890712</v>
      </c>
      <c r="F44" s="2">
        <f>MAX(seed_987654321!B44,seed_123456789!B44,seed_121212!B44)</f>
        <v>640</v>
      </c>
    </row>
    <row r="45" spans="1:6" ht="23.25" x14ac:dyDescent="0.35">
      <c r="A45" s="13">
        <v>44</v>
      </c>
      <c r="B45" s="7">
        <f>AVERAGE(seed_987654321!B45,seed_123456789!B45,seed_121212!B45)</f>
        <v>310</v>
      </c>
      <c r="C45" s="12">
        <f>_xlfn.STDEV.P(seed_987654321!B45,seed_123456789!B45,seed_121212!B45)</f>
        <v>332.44047086157644</v>
      </c>
      <c r="D45" s="12">
        <f>AVERAGE(seed_987654321!C45,seed_123456789!C45,seed_121212!C45)</f>
        <v>-734.66666666666663</v>
      </c>
      <c r="E45" s="12">
        <f>_xlfn.STDEV.P(seed_987654321!C45,seed_123456789!C45,seed_121212!C45)</f>
        <v>45.289040862246381</v>
      </c>
      <c r="F45" s="2">
        <f>MAX(seed_987654321!B45,seed_123456789!B45,seed_121212!B45)</f>
        <v>640</v>
      </c>
    </row>
    <row r="46" spans="1:6" ht="23.25" x14ac:dyDescent="0.35">
      <c r="A46" s="13">
        <v>45</v>
      </c>
      <c r="B46" s="7">
        <f>AVERAGE(seed_987654321!B46,seed_123456789!B46,seed_121212!B46)</f>
        <v>310</v>
      </c>
      <c r="C46" s="12">
        <f>_xlfn.STDEV.P(seed_987654321!B46,seed_123456789!B46,seed_121212!B46)</f>
        <v>332.44047086157644</v>
      </c>
      <c r="D46" s="12">
        <f>AVERAGE(seed_987654321!C46,seed_123456789!C46,seed_121212!C46)</f>
        <v>-729.75</v>
      </c>
      <c r="E46" s="12">
        <f>_xlfn.STDEV.P(seed_987654321!C46,seed_123456789!C46,seed_121212!C46)</f>
        <v>163.52331638026425</v>
      </c>
      <c r="F46" s="2">
        <f>MAX(seed_987654321!B46,seed_123456789!B46,seed_121212!B46)</f>
        <v>640</v>
      </c>
    </row>
    <row r="47" spans="1:6" ht="23.25" x14ac:dyDescent="0.35">
      <c r="A47" s="13">
        <v>46</v>
      </c>
      <c r="B47" s="7">
        <f>AVERAGE(seed_987654321!B47,seed_123456789!B47,seed_121212!B47)</f>
        <v>370</v>
      </c>
      <c r="C47" s="12">
        <f>_xlfn.STDEV.P(seed_987654321!B47,seed_123456789!B47,seed_121212!B47)</f>
        <v>307.35430152621365</v>
      </c>
      <c r="D47" s="12">
        <f>AVERAGE(seed_987654321!C47,seed_123456789!C47,seed_121212!C47)</f>
        <v>-557.25</v>
      </c>
      <c r="E47" s="12">
        <f>_xlfn.STDEV.P(seed_987654321!C47,seed_123456789!C47,seed_121212!C47)</f>
        <v>164.30167883094398</v>
      </c>
      <c r="F47" s="2">
        <f>MAX(seed_987654321!B47,seed_123456789!B47,seed_121212!B47)</f>
        <v>640</v>
      </c>
    </row>
    <row r="48" spans="1:6" ht="23.25" x14ac:dyDescent="0.35">
      <c r="A48" s="13">
        <v>47</v>
      </c>
      <c r="B48" s="7">
        <f>AVERAGE(seed_987654321!B48,seed_123456789!B48,seed_121212!B48)</f>
        <v>430</v>
      </c>
      <c r="C48" s="12">
        <f>_xlfn.STDEV.P(seed_987654321!B48,seed_123456789!B48,seed_121212!B48)</f>
        <v>223.7558192911788</v>
      </c>
      <c r="D48" s="12">
        <f>AVERAGE(seed_987654321!C48,seed_123456789!C48,seed_121212!C48)</f>
        <v>-748.41666666666663</v>
      </c>
      <c r="E48" s="12">
        <f>_xlfn.STDEV.P(seed_987654321!C48,seed_123456789!C48,seed_121212!C48)</f>
        <v>155.04533387224382</v>
      </c>
      <c r="F48" s="2">
        <f>MAX(seed_987654321!B48,seed_123456789!B48,seed_121212!B48)</f>
        <v>640</v>
      </c>
    </row>
    <row r="49" spans="1:6" ht="23.25" x14ac:dyDescent="0.35">
      <c r="A49" s="13">
        <v>48</v>
      </c>
      <c r="B49" s="7">
        <f>AVERAGE(seed_987654321!B49,seed_123456789!B49,seed_121212!B49)</f>
        <v>405</v>
      </c>
      <c r="C49" s="12">
        <f>_xlfn.STDEV.P(seed_987654321!B49,seed_123456789!B49,seed_121212!B49)</f>
        <v>202.03135070247555</v>
      </c>
      <c r="D49" s="12">
        <f>AVERAGE(seed_987654321!C49,seed_123456789!C49,seed_121212!C49)</f>
        <v>-826.91666666666663</v>
      </c>
      <c r="E49" s="12">
        <f>_xlfn.STDEV.P(seed_987654321!C49,seed_123456789!C49,seed_121212!C49)</f>
        <v>17.455101132779369</v>
      </c>
      <c r="F49" s="2">
        <f>MAX(seed_987654321!B49,seed_123456789!B49,seed_121212!B49)</f>
        <v>565</v>
      </c>
    </row>
    <row r="50" spans="1:6" ht="23.25" x14ac:dyDescent="0.35">
      <c r="A50" s="13">
        <v>49</v>
      </c>
      <c r="B50" s="7">
        <f>AVERAGE(seed_987654321!B50,seed_123456789!B50,seed_121212!B50)</f>
        <v>405</v>
      </c>
      <c r="C50" s="12">
        <f>_xlfn.STDEV.P(seed_987654321!B50,seed_123456789!B50,seed_121212!B50)</f>
        <v>202.03135070247555</v>
      </c>
      <c r="D50" s="12">
        <f>AVERAGE(seed_987654321!C50,seed_123456789!C50,seed_121212!C50)</f>
        <v>-721.5</v>
      </c>
      <c r="E50" s="12">
        <f>_xlfn.STDEV.P(seed_987654321!C50,seed_123456789!C50,seed_121212!C50)</f>
        <v>157.20064143210951</v>
      </c>
      <c r="F50" s="2">
        <f>MAX(seed_987654321!B50,seed_123456789!B50,seed_121212!B50)</f>
        <v>565</v>
      </c>
    </row>
    <row r="51" spans="1:6" ht="23.25" x14ac:dyDescent="0.35">
      <c r="A51" s="13">
        <v>50</v>
      </c>
      <c r="B51" s="7">
        <f>AVERAGE(seed_987654321!B51,seed_123456789!B51,seed_121212!B51)</f>
        <v>405</v>
      </c>
      <c r="C51" s="12">
        <f>_xlfn.STDEV.P(seed_987654321!B51,seed_123456789!B51,seed_121212!B51)</f>
        <v>202.03135070247555</v>
      </c>
      <c r="D51" s="12">
        <f>AVERAGE(seed_987654321!C51,seed_123456789!C51,seed_121212!C51)</f>
        <v>-722.5</v>
      </c>
      <c r="E51" s="12">
        <f>_xlfn.STDEV.P(seed_987654321!C51,seed_123456789!C51,seed_121212!C51)</f>
        <v>100.65680139298421</v>
      </c>
      <c r="F51" s="2">
        <f>MAX(seed_987654321!B51,seed_123456789!B51,seed_121212!B51)</f>
        <v>565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seed_987654321</vt:lpstr>
      <vt:lpstr>seed_123456789</vt:lpstr>
      <vt:lpstr>seed_121212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JENNY KING BUSTAMANTE</cp:lastModifiedBy>
  <dcterms:created xsi:type="dcterms:W3CDTF">2025-11-30T20:39:20Z</dcterms:created>
  <dcterms:modified xsi:type="dcterms:W3CDTF">2025-11-30T22:53:30Z</dcterms:modified>
</cp:coreProperties>
</file>